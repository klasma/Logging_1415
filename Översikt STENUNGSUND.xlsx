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46268</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46268</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46268</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46268</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46268</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46268</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46268</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46268</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46268</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46268</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46268</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46268</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46268</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46268</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46268</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4769-2026</t>
        </is>
      </c>
      <c r="B17" t="inlineStr">
        <is>
          <t>avverkningsanmälan</t>
        </is>
      </c>
      <c r="C17" t="inlineStr">
        <is>
          <t>Föryngringsavverkning</t>
        </is>
      </c>
      <c r="D17" s="1" t="n">
        <v>46048</v>
      </c>
      <c r="E17" s="1" t="n">
        <v>46268</v>
      </c>
      <c r="F17" t="inlineStr">
        <is>
          <t>VÄSTRA GÖTALANDS LÄN</t>
        </is>
      </c>
      <c r="G17" t="inlineStr">
        <is>
          <t>STENUNGSUND</t>
        </is>
      </c>
      <c r="I17" t="n">
        <v>1</v>
      </c>
      <c r="J17" t="n">
        <v>1</v>
      </c>
      <c r="K17" t="n">
        <v>0</v>
      </c>
      <c r="L17" t="n">
        <v>0</v>
      </c>
      <c r="M17" t="n">
        <v>0</v>
      </c>
      <c r="N17" t="n">
        <v>0</v>
      </c>
      <c r="O17" t="n">
        <v>0</v>
      </c>
      <c r="P17" t="n">
        <v>0</v>
      </c>
      <c r="Q17" t="n">
        <v>0</v>
      </c>
      <c r="R17" t="n">
        <v>0</v>
      </c>
      <c r="S17" t="n">
        <v>1</v>
      </c>
      <c r="T17" t="n">
        <v>1</v>
      </c>
      <c r="U17" t="n">
        <v>0</v>
      </c>
      <c r="V17" s="2" t="inlineStr">
        <is>
          <t>Kråka</t>
        </is>
      </c>
      <c r="W17">
        <f>HYPERLINK("https://klasma.github.io/Logging_1415/artfynd/A 4769-2026 artfynd.xlsx", "A 4769-2026")</f>
        <v/>
      </c>
      <c r="X17">
        <f>HYPERLINK("https://klasma.github.io/Logging_1415/kartor/A 4769-2026 karta.png", "A 4769-2026")</f>
        <v/>
      </c>
      <c r="Y17">
        <f>HYPERLINK("https://klasma.github.io/Logging_1415/kartor_geotiff/A 4769-2026 georefererad karta.tif", "A 4769-2026")</f>
        <v/>
      </c>
      <c r="AA17">
        <f>HYPERLINK("https://klasma.github.io/Logging_1415/klagomål/A 4769-2026 FSC-klagomål.docx", "A 4769-2026")</f>
        <v/>
      </c>
      <c r="AB17">
        <f>HYPERLINK("https://klasma.github.io/Logging_1415/klagomålsmail/A 4769-2026 FSC-klagomål mail.docx", "A 4769-2026")</f>
        <v/>
      </c>
      <c r="AC17">
        <f>HYPERLINK("https://klasma.github.io/Logging_1415/tillsyn/A 4769-2026 tillsynsbegäran.docx", "A 4769-2026")</f>
        <v/>
      </c>
      <c r="AD17">
        <f>HYPERLINK("https://klasma.github.io/Logging_1415/tillsynsmail/A 4769-2026 tillsynsbegäran mail.docx", "A 4769-2026")</f>
        <v/>
      </c>
    </row>
    <row r="18" ht="15" customHeight="1">
      <c r="A18" t="inlineStr">
        <is>
          <t>A 37539-2025</t>
        </is>
      </c>
      <c r="B18" t="inlineStr">
        <is>
          <t>avverkningsanmälan</t>
        </is>
      </c>
      <c r="C18" t="inlineStr">
        <is>
          <t>Föryngringsavverkning</t>
        </is>
      </c>
      <c r="D18" s="1" t="n">
        <v>45879</v>
      </c>
      <c r="E18" s="1" t="n">
        <v>46268</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54611-2025</t>
        </is>
      </c>
      <c r="B19" t="inlineStr">
        <is>
          <t>avverkningsanmälan</t>
        </is>
      </c>
      <c r="C19" t="inlineStr">
        <is>
          <t>Föryngringsavverkning</t>
        </is>
      </c>
      <c r="D19" s="1" t="n">
        <v>45966</v>
      </c>
      <c r="E19" s="1" t="n">
        <v>46268</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17346-2026</t>
        </is>
      </c>
      <c r="B20" t="inlineStr">
        <is>
          <t>avverkningsanmälan</t>
        </is>
      </c>
      <c r="C20" t="inlineStr">
        <is>
          <t>Föryngringsavverkning</t>
        </is>
      </c>
      <c r="D20" s="1" t="n">
        <v>46119</v>
      </c>
      <c r="E20" s="1" t="n">
        <v>46268</v>
      </c>
      <c r="F20" t="inlineStr">
        <is>
          <t>VÄSTRA GÖTALANDS LÄN</t>
        </is>
      </c>
      <c r="G20" t="inlineStr">
        <is>
          <t>STENUNGSUND</t>
        </is>
      </c>
      <c r="I20" t="n">
        <v>3.9</v>
      </c>
      <c r="J20" t="n">
        <v>1</v>
      </c>
      <c r="K20" t="n">
        <v>0</v>
      </c>
      <c r="L20" t="n">
        <v>0</v>
      </c>
      <c r="M20" t="n">
        <v>0</v>
      </c>
      <c r="N20" t="n">
        <v>0</v>
      </c>
      <c r="O20" t="n">
        <v>0</v>
      </c>
      <c r="P20" t="n">
        <v>0</v>
      </c>
      <c r="Q20" t="n">
        <v>0</v>
      </c>
      <c r="R20" t="n">
        <v>0</v>
      </c>
      <c r="S20" t="n">
        <v>1</v>
      </c>
      <c r="T20" t="n">
        <v>1</v>
      </c>
      <c r="U20" t="n">
        <v>1</v>
      </c>
      <c r="V20" s="2" t="inlineStr">
        <is>
          <t>Spillkråka</t>
        </is>
      </c>
      <c r="W20">
        <f>HYPERLINK("https://klasma.github.io/Logging_1415/artfynd/A 17346-2026 artfynd.xlsx", "A 17346-2026")</f>
        <v/>
      </c>
      <c r="X20">
        <f>HYPERLINK("https://klasma.github.io/Logging_1415/kartor/A 17346-2026 karta.png", "A 17346-2026")</f>
        <v/>
      </c>
      <c r="Y20">
        <f>HYPERLINK("https://klasma.github.io/Logging_1415/kartor_geotiff/A 17346-2026 georefererad karta.tif", "A 17346-2026")</f>
        <v/>
      </c>
      <c r="AA20">
        <f>HYPERLINK("https://klasma.github.io/Logging_1415/klagomål/A 17346-2026 FSC-klagomål.docx", "A 17346-2026")</f>
        <v/>
      </c>
      <c r="AB20">
        <f>HYPERLINK("https://klasma.github.io/Logging_1415/klagomålsmail/A 17346-2026 FSC-klagomål mail.docx", "A 17346-2026")</f>
        <v/>
      </c>
      <c r="AC20">
        <f>HYPERLINK("https://klasma.github.io/Logging_1415/tillsyn/A 17346-2026 tillsynsbegäran.docx", "A 17346-2026")</f>
        <v/>
      </c>
      <c r="AD20">
        <f>HYPERLINK("https://klasma.github.io/Logging_1415/tillsynsmail/A 17346-2026 tillsynsbegäran mail.docx", "A 17346-2026")</f>
        <v/>
      </c>
      <c r="AE20">
        <f>HYPERLINK("https://klasma.github.io/Logging_1415/fåglar/A 17346-2026 prioriterade fågelarter.docx", "A 17346-2026")</f>
        <v/>
      </c>
    </row>
    <row r="21" ht="15" customHeight="1">
      <c r="A21" t="inlineStr">
        <is>
          <t>A 6147-2022</t>
        </is>
      </c>
      <c r="B21" t="inlineStr">
        <is>
          <t>avverkningsanmälan</t>
        </is>
      </c>
      <c r="C21" t="inlineStr">
        <is>
          <t>Föryngringsavverkning</t>
        </is>
      </c>
      <c r="D21" s="1" t="n">
        <v>44599</v>
      </c>
      <c r="E21" s="1" t="n">
        <v>46268</v>
      </c>
      <c r="F21" t="inlineStr">
        <is>
          <t>VÄSTRA GÖTALANDS LÄN</t>
        </is>
      </c>
      <c r="G21" t="inlineStr">
        <is>
          <t>STENUNGSUND</t>
        </is>
      </c>
      <c r="I21" t="n">
        <v>2.2</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HYPERLINK("https://klasma.github.io/Logging_1415/artfynd/A 6147-2022 artfynd.xlsx", "A 6147-2022")</f>
        <v/>
      </c>
      <c r="X21">
        <f>HYPERLINK("https://klasma.github.io/Logging_1415/kartor/A 6147-2022 karta.png", "A 6147-2022")</f>
        <v/>
      </c>
      <c r="Y21">
        <f>HYPERLINK("https://klasma.github.io/Logging_1415/kartor_geotiff/A 6147-2022 georefererad karta.tif", "A 6147-2022")</f>
        <v/>
      </c>
      <c r="AA21">
        <f>HYPERLINK("https://klasma.github.io/Logging_1415/klagomål/A 6147-2022 FSC-klagomål.docx", "A 6147-2022")</f>
        <v/>
      </c>
      <c r="AB21">
        <f>HYPERLINK("https://klasma.github.io/Logging_1415/klagomålsmail/A 6147-2022 FSC-klagomål mail.docx", "A 6147-2022")</f>
        <v/>
      </c>
      <c r="AC21">
        <f>HYPERLINK("https://klasma.github.io/Logging_1415/tillsyn/A 6147-2022 tillsynsbegäran.docx", "A 6147-2022")</f>
        <v/>
      </c>
      <c r="AD21">
        <f>HYPERLINK("https://klasma.github.io/Logging_1415/tillsynsmail/A 6147-2022 tillsynsbegäran mail.docx", "A 6147-2022")</f>
        <v/>
      </c>
    </row>
    <row r="22" ht="15" customHeight="1">
      <c r="A22" t="inlineStr">
        <is>
          <t>A 45000-2024</t>
        </is>
      </c>
      <c r="B22" t="inlineStr">
        <is>
          <t>avverkningsanmälan</t>
        </is>
      </c>
      <c r="C22" t="inlineStr">
        <is>
          <t>Föryngringsavverkning</t>
        </is>
      </c>
      <c r="D22" s="1" t="n">
        <v>45575</v>
      </c>
      <c r="E22" s="1" t="n">
        <v>46268</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25125-2026</t>
        </is>
      </c>
      <c r="B23" t="inlineStr">
        <is>
          <t>avverkningsanmälan</t>
        </is>
      </c>
      <c r="C23" t="inlineStr">
        <is>
          <t>Föryngringsavverkning</t>
        </is>
      </c>
      <c r="D23" s="1" t="n">
        <v>46175</v>
      </c>
      <c r="E23" s="1" t="n">
        <v>46268</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31696-2026</t>
        </is>
      </c>
      <c r="B24" t="inlineStr">
        <is>
          <t>avverkningsanmälan</t>
        </is>
      </c>
      <c r="C24" t="inlineStr">
        <is>
          <t>Föryngringsavverkning</t>
        </is>
      </c>
      <c r="D24" s="1" t="n">
        <v>46226</v>
      </c>
      <c r="E24" s="1" t="n">
        <v>46268</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12075-2022</t>
        </is>
      </c>
      <c r="B25" t="inlineStr">
        <is>
          <t>avverkningsanmälan</t>
        </is>
      </c>
      <c r="C25" t="inlineStr">
        <is>
          <t>Föryngringsavverkning</t>
        </is>
      </c>
      <c r="D25" s="1" t="n">
        <v>44636</v>
      </c>
      <c r="E25" s="1" t="n">
        <v>46268</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46268</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46268</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46268</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46268</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46268</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46268</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46268</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46268</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23070-2022</t>
        </is>
      </c>
      <c r="B34" t="inlineStr">
        <is>
          <t>avverkningsanmälan</t>
        </is>
      </c>
      <c r="C34" t="inlineStr">
        <is>
          <t>Föryngringsavverkning</t>
        </is>
      </c>
      <c r="D34" s="1" t="n">
        <v>44719</v>
      </c>
      <c r="E34" s="1" t="n">
        <v>46268</v>
      </c>
      <c r="F34" t="inlineStr">
        <is>
          <t>VÄSTRA GÖTALANDS LÄN</t>
        </is>
      </c>
      <c r="G34" t="inlineStr">
        <is>
          <t>STENUNGSUND</t>
        </is>
      </c>
      <c r="I34" t="n">
        <v>4.1</v>
      </c>
      <c r="J34" t="n">
        <v>0</v>
      </c>
      <c r="K34" t="n">
        <v>0</v>
      </c>
      <c r="L34" t="n">
        <v>0</v>
      </c>
      <c r="M34" t="n">
        <v>0</v>
      </c>
      <c r="N34" t="n">
        <v>0</v>
      </c>
      <c r="O34" t="n">
        <v>0</v>
      </c>
      <c r="P34" t="n">
        <v>0</v>
      </c>
      <c r="Q34" t="n">
        <v>0</v>
      </c>
      <c r="R34" t="n">
        <v>0</v>
      </c>
      <c r="S34" t="n">
        <v>0</v>
      </c>
      <c r="T34" t="n">
        <v>0</v>
      </c>
      <c r="U34" t="n">
        <v>0</v>
      </c>
      <c r="V34" s="2" t="inlineStr"/>
    </row>
    <row r="35" ht="15" customHeight="1">
      <c r="A35" t="inlineStr">
        <is>
          <t>A 8684-2024</t>
        </is>
      </c>
      <c r="B35" t="inlineStr">
        <is>
          <t>avverkningsanmälan</t>
        </is>
      </c>
      <c r="C35" t="inlineStr">
        <is>
          <t>Föryngringsavverkning</t>
        </is>
      </c>
      <c r="D35" s="1" t="n">
        <v>45356</v>
      </c>
      <c r="E35" s="1" t="n">
        <v>46268</v>
      </c>
      <c r="F35" t="inlineStr">
        <is>
          <t>VÄSTRA GÖTALANDS LÄN</t>
        </is>
      </c>
      <c r="G35" t="inlineStr">
        <is>
          <t>STENUNGSUND</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27030-2023</t>
        </is>
      </c>
      <c r="B36" t="inlineStr">
        <is>
          <t>avverkningsanmälan</t>
        </is>
      </c>
      <c r="C36" t="inlineStr">
        <is>
          <t>Föryngringsavverkning</t>
        </is>
      </c>
      <c r="D36" s="1" t="n">
        <v>45095</v>
      </c>
      <c r="E36" s="1" t="n">
        <v>46268</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52952-2021</t>
        </is>
      </c>
      <c r="B37" t="inlineStr">
        <is>
          <t>avverkningsanmälan</t>
        </is>
      </c>
      <c r="C37" t="inlineStr">
        <is>
          <t>Föryngringsavverkning</t>
        </is>
      </c>
      <c r="D37" s="1" t="n">
        <v>44467</v>
      </c>
      <c r="E37" s="1" t="n">
        <v>46268</v>
      </c>
      <c r="F37" t="inlineStr">
        <is>
          <t>VÄSTRA GÖTALANDS LÄN</t>
        </is>
      </c>
      <c r="G37" t="inlineStr">
        <is>
          <t>STENUNGSUND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23762-2024</t>
        </is>
      </c>
      <c r="B38" t="inlineStr">
        <is>
          <t>avverkningsanmälan</t>
        </is>
      </c>
      <c r="C38" t="inlineStr">
        <is>
          <t>Föryngringsavverkning</t>
        </is>
      </c>
      <c r="D38" s="1" t="n">
        <v>45455</v>
      </c>
      <c r="E38" s="1" t="n">
        <v>46268</v>
      </c>
      <c r="F38" t="inlineStr">
        <is>
          <t>VÄSTRA GÖTALANDS LÄN</t>
        </is>
      </c>
      <c r="G38" t="inlineStr">
        <is>
          <t>STENUNGSUND</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20974-2025</t>
        </is>
      </c>
      <c r="B39" t="inlineStr">
        <is>
          <t>avverkningsanmälan</t>
        </is>
      </c>
      <c r="C39" t="inlineStr">
        <is>
          <t>Föryngringsavverkning</t>
        </is>
      </c>
      <c r="D39" s="1" t="n">
        <v>45777</v>
      </c>
      <c r="E39" s="1" t="n">
        <v>46268</v>
      </c>
      <c r="F39" t="inlineStr">
        <is>
          <t>VÄSTRA GÖTALANDS LÄN</t>
        </is>
      </c>
      <c r="G39" t="inlineStr">
        <is>
          <t>STENUNGSUND</t>
        </is>
      </c>
      <c r="I39" t="n">
        <v>10.3</v>
      </c>
      <c r="J39" t="n">
        <v>0</v>
      </c>
      <c r="K39" t="n">
        <v>0</v>
      </c>
      <c r="L39" t="n">
        <v>0</v>
      </c>
      <c r="M39" t="n">
        <v>0</v>
      </c>
      <c r="N39" t="n">
        <v>0</v>
      </c>
      <c r="O39" t="n">
        <v>0</v>
      </c>
      <c r="P39" t="n">
        <v>0</v>
      </c>
      <c r="Q39" t="n">
        <v>0</v>
      </c>
      <c r="R39" t="n">
        <v>0</v>
      </c>
      <c r="S39" t="n">
        <v>0</v>
      </c>
      <c r="T39" t="n">
        <v>0</v>
      </c>
      <c r="U39" t="n">
        <v>0</v>
      </c>
      <c r="V39" s="2" t="inlineStr"/>
    </row>
    <row r="40" ht="15" customHeight="1">
      <c r="A40" t="inlineStr">
        <is>
          <t>A 60832-2024</t>
        </is>
      </c>
      <c r="B40" t="inlineStr">
        <is>
          <t>avverkningsanmälan</t>
        </is>
      </c>
      <c r="C40" t="inlineStr">
        <is>
          <t>Föryngringsavverkning</t>
        </is>
      </c>
      <c r="D40" s="1" t="n">
        <v>45644</v>
      </c>
      <c r="E40" s="1" t="n">
        <v>46268</v>
      </c>
      <c r="F40" t="inlineStr">
        <is>
          <t>VÄSTRA GÖTALANDS LÄN</t>
        </is>
      </c>
      <c r="G40" t="inlineStr">
        <is>
          <t>STENUNGSUND</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48365-2024</t>
        </is>
      </c>
      <c r="B41" t="inlineStr">
        <is>
          <t>avverkningsanmälan</t>
        </is>
      </c>
      <c r="C41" t="inlineStr">
        <is>
          <t>Föryngringsavverkning</t>
        </is>
      </c>
      <c r="D41" s="1" t="n">
        <v>45590</v>
      </c>
      <c r="E41" s="1" t="n">
        <v>46268</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2412-2024</t>
        </is>
      </c>
      <c r="B42" t="inlineStr">
        <is>
          <t>avverkningsanmälan</t>
        </is>
      </c>
      <c r="C42" t="inlineStr">
        <is>
          <t>Föryngringsavverkning</t>
        </is>
      </c>
      <c r="D42" s="1" t="n">
        <v>45310</v>
      </c>
      <c r="E42" s="1" t="n">
        <v>46268</v>
      </c>
      <c r="F42" t="inlineStr">
        <is>
          <t>VÄSTRA GÖTALANDS LÄN</t>
        </is>
      </c>
      <c r="G42" t="inlineStr">
        <is>
          <t>STENUNGSUND</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9893-2025</t>
        </is>
      </c>
      <c r="B43" t="inlineStr">
        <is>
          <t>avverkningsanmälan</t>
        </is>
      </c>
      <c r="C43" t="inlineStr">
        <is>
          <t>Föryngringsavverkning</t>
        </is>
      </c>
      <c r="D43" s="1" t="n">
        <v>45716</v>
      </c>
      <c r="E43" s="1" t="n">
        <v>46268</v>
      </c>
      <c r="F43" t="inlineStr">
        <is>
          <t>VÄSTRA GÖTALANDS LÄN</t>
        </is>
      </c>
      <c r="G43" t="inlineStr">
        <is>
          <t>STENUNGSUND</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38996-2025</t>
        </is>
      </c>
      <c r="B44" t="inlineStr">
        <is>
          <t>avverkningsanmälan</t>
        </is>
      </c>
      <c r="C44" t="inlineStr">
        <is>
          <t>Föryngringsavverkning</t>
        </is>
      </c>
      <c r="D44" s="1" t="n">
        <v>45888</v>
      </c>
      <c r="E44" s="1" t="n">
        <v>46268</v>
      </c>
      <c r="F44" t="inlineStr">
        <is>
          <t>VÄSTRA GÖTALANDS LÄN</t>
        </is>
      </c>
      <c r="G44" t="inlineStr">
        <is>
          <t>STENUNGSUND</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38994-2025</t>
        </is>
      </c>
      <c r="B45" t="inlineStr">
        <is>
          <t>avverkningsanmälan</t>
        </is>
      </c>
      <c r="C45" t="inlineStr">
        <is>
          <t>Föryngringsavverkning</t>
        </is>
      </c>
      <c r="D45" s="1" t="n">
        <v>45888</v>
      </c>
      <c r="E45" s="1" t="n">
        <v>46268</v>
      </c>
      <c r="F45" t="inlineStr">
        <is>
          <t>VÄSTRA GÖTALANDS LÄN</t>
        </is>
      </c>
      <c r="G45" t="inlineStr">
        <is>
          <t>STENUNGSUND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3570-2023</t>
        </is>
      </c>
      <c r="B46" t="inlineStr">
        <is>
          <t>avverkningsanmälan</t>
        </is>
      </c>
      <c r="C46" t="inlineStr">
        <is>
          <t>Föryngringsavverkning</t>
        </is>
      </c>
      <c r="D46" s="1" t="n">
        <v>44950</v>
      </c>
      <c r="E46" s="1" t="n">
        <v>46268</v>
      </c>
      <c r="F46" t="inlineStr">
        <is>
          <t>VÄSTRA GÖTALANDS LÄN</t>
        </is>
      </c>
      <c r="G46" t="inlineStr">
        <is>
          <t>STENUNGSUND</t>
        </is>
      </c>
      <c r="I46" t="n">
        <v>4.1</v>
      </c>
      <c r="J46" t="n">
        <v>0</v>
      </c>
      <c r="K46" t="n">
        <v>0</v>
      </c>
      <c r="L46" t="n">
        <v>0</v>
      </c>
      <c r="M46" t="n">
        <v>0</v>
      </c>
      <c r="N46" t="n">
        <v>0</v>
      </c>
      <c r="O46" t="n">
        <v>0</v>
      </c>
      <c r="P46" t="n">
        <v>0</v>
      </c>
      <c r="Q46" t="n">
        <v>0</v>
      </c>
      <c r="R46" t="n">
        <v>0</v>
      </c>
      <c r="S46" t="n">
        <v>0</v>
      </c>
      <c r="T46" t="n">
        <v>0</v>
      </c>
      <c r="U46" t="n">
        <v>0</v>
      </c>
      <c r="V46" s="2" t="inlineStr"/>
    </row>
    <row r="47" ht="15" customHeight="1">
      <c r="A47" t="inlineStr">
        <is>
          <t>A 2472-2026</t>
        </is>
      </c>
      <c r="B47" t="inlineStr">
        <is>
          <t>avverkningsanmälan</t>
        </is>
      </c>
      <c r="C47" t="inlineStr">
        <is>
          <t>Föryngringsavverkning</t>
        </is>
      </c>
      <c r="D47" s="1" t="n">
        <v>46037</v>
      </c>
      <c r="E47" s="1" t="n">
        <v>46268</v>
      </c>
      <c r="F47" t="inlineStr">
        <is>
          <t>VÄSTRA GÖTALANDS LÄN</t>
        </is>
      </c>
      <c r="G47" t="inlineStr">
        <is>
          <t>STENUNGSUND</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72944-2021</t>
        </is>
      </c>
      <c r="B48" t="inlineStr">
        <is>
          <t>avverkningsanmälan</t>
        </is>
      </c>
      <c r="C48" t="inlineStr">
        <is>
          <t>Föryngringsavverkning</t>
        </is>
      </c>
      <c r="D48" s="1" t="n">
        <v>44547</v>
      </c>
      <c r="E48" s="1" t="n">
        <v>46268</v>
      </c>
      <c r="F48" t="inlineStr">
        <is>
          <t>VÄSTRA GÖTALANDS LÄN</t>
        </is>
      </c>
      <c r="G48" t="inlineStr">
        <is>
          <t>STENUNGSUND</t>
        </is>
      </c>
      <c r="I48" t="n">
        <v>4.2</v>
      </c>
      <c r="J48" t="n">
        <v>0</v>
      </c>
      <c r="K48" t="n">
        <v>0</v>
      </c>
      <c r="L48" t="n">
        <v>0</v>
      </c>
      <c r="M48" t="n">
        <v>0</v>
      </c>
      <c r="N48" t="n">
        <v>0</v>
      </c>
      <c r="O48" t="n">
        <v>0</v>
      </c>
      <c r="P48" t="n">
        <v>0</v>
      </c>
      <c r="Q48" t="n">
        <v>0</v>
      </c>
      <c r="R48" t="n">
        <v>0</v>
      </c>
      <c r="S48" t="n">
        <v>0</v>
      </c>
      <c r="T48" t="n">
        <v>0</v>
      </c>
      <c r="U48" t="n">
        <v>0</v>
      </c>
      <c r="V48" s="2" t="inlineStr"/>
    </row>
    <row r="49" ht="15" customHeight="1">
      <c r="A49" t="inlineStr">
        <is>
          <t>A 2481-2026</t>
        </is>
      </c>
      <c r="B49" t="inlineStr">
        <is>
          <t>avverkningsanmälan</t>
        </is>
      </c>
      <c r="C49" t="inlineStr">
        <is>
          <t>Föryngringsavverkning</t>
        </is>
      </c>
      <c r="D49" s="1" t="n">
        <v>46037</v>
      </c>
      <c r="E49" s="1" t="n">
        <v>46268</v>
      </c>
      <c r="F49" t="inlineStr">
        <is>
          <t>VÄSTRA GÖTALANDS LÄN</t>
        </is>
      </c>
      <c r="G49" t="inlineStr">
        <is>
          <t>STENUNGSUND</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33010-2022</t>
        </is>
      </c>
      <c r="B50" t="inlineStr">
        <is>
          <t>avverkningsanmälan</t>
        </is>
      </c>
      <c r="C50" t="inlineStr">
        <is>
          <t>Föryngringsavverkning</t>
        </is>
      </c>
      <c r="D50" s="1" t="n">
        <v>44785</v>
      </c>
      <c r="E50" s="1" t="n">
        <v>46268</v>
      </c>
      <c r="F50" t="inlineStr">
        <is>
          <t>VÄSTRA GÖTALANDS LÄN</t>
        </is>
      </c>
      <c r="G50" t="inlineStr">
        <is>
          <t>STENUNGSUND</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33011-2022</t>
        </is>
      </c>
      <c r="B51" t="inlineStr">
        <is>
          <t>avverkningsanmälan</t>
        </is>
      </c>
      <c r="C51" t="inlineStr">
        <is>
          <t>Föryngringsavverkning</t>
        </is>
      </c>
      <c r="D51" s="1" t="n">
        <v>44785</v>
      </c>
      <c r="E51" s="1" t="n">
        <v>46268</v>
      </c>
      <c r="F51" t="inlineStr">
        <is>
          <t>VÄSTRA GÖTALANDS LÄN</t>
        </is>
      </c>
      <c r="G51" t="inlineStr">
        <is>
          <t>STENUNGSUND</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3569-2023</t>
        </is>
      </c>
      <c r="B52" t="inlineStr">
        <is>
          <t>avverkningsanmälan</t>
        </is>
      </c>
      <c r="C52" t="inlineStr">
        <is>
          <t>Föryngringsavverkning</t>
        </is>
      </c>
      <c r="D52" s="1" t="n">
        <v>44950</v>
      </c>
      <c r="E52" s="1" t="n">
        <v>46268</v>
      </c>
      <c r="F52" t="inlineStr">
        <is>
          <t>VÄSTRA GÖTALANDS LÄN</t>
        </is>
      </c>
      <c r="G52" t="inlineStr">
        <is>
          <t>STENUNGSUND</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42791-2025</t>
        </is>
      </c>
      <c r="B53" t="inlineStr">
        <is>
          <t>avverkningsanmälan</t>
        </is>
      </c>
      <c r="C53" t="inlineStr">
        <is>
          <t>Föryngringsavverkning</t>
        </is>
      </c>
      <c r="D53" s="1" t="n">
        <v>45908</v>
      </c>
      <c r="E53" s="1" t="n">
        <v>46268</v>
      </c>
      <c r="F53" t="inlineStr">
        <is>
          <t>VÄSTRA GÖTALANDS LÄN</t>
        </is>
      </c>
      <c r="G53" t="inlineStr">
        <is>
          <t>STENUNGSUND</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8948-2022</t>
        </is>
      </c>
      <c r="B54" t="inlineStr">
        <is>
          <t>avverkningsanmälan</t>
        </is>
      </c>
      <c r="C54" t="inlineStr">
        <is>
          <t>Avverkning för annat ändamål</t>
        </is>
      </c>
      <c r="D54" s="1" t="n">
        <v>44614</v>
      </c>
      <c r="E54" s="1" t="n">
        <v>46268</v>
      </c>
      <c r="F54" t="inlineStr">
        <is>
          <t>VÄSTRA GÖTALANDS LÄN</t>
        </is>
      </c>
      <c r="G54" t="inlineStr">
        <is>
          <t>STENUNGSUND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35172-2025</t>
        </is>
      </c>
      <c r="B55" t="inlineStr">
        <is>
          <t>avverkningsanmälan</t>
        </is>
      </c>
      <c r="C55" t="inlineStr">
        <is>
          <t>Föryngringsavverkning</t>
        </is>
      </c>
      <c r="D55" s="1" t="n">
        <v>45852</v>
      </c>
      <c r="E55" s="1" t="n">
        <v>46268</v>
      </c>
      <c r="F55" t="inlineStr">
        <is>
          <t>VÄSTRA GÖTALANDS LÄN</t>
        </is>
      </c>
      <c r="G55" t="inlineStr">
        <is>
          <t>STENUNGSUND</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8544-2023</t>
        </is>
      </c>
      <c r="B56" t="inlineStr">
        <is>
          <t>avverkningsanmälan</t>
        </is>
      </c>
      <c r="C56" t="inlineStr">
        <is>
          <t>Föryngringsavverkning</t>
        </is>
      </c>
      <c r="D56" s="1" t="n">
        <v>44977</v>
      </c>
      <c r="E56" s="1" t="n">
        <v>46268</v>
      </c>
      <c r="F56" t="inlineStr">
        <is>
          <t>VÄSTRA GÖTALANDS LÄN</t>
        </is>
      </c>
      <c r="G56" t="inlineStr">
        <is>
          <t>STENUNGSUND</t>
        </is>
      </c>
      <c r="I56" t="n">
        <v>8.199999999999999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30175-2022</t>
        </is>
      </c>
      <c r="B57" t="inlineStr">
        <is>
          <t>avverkningsanmälan</t>
        </is>
      </c>
      <c r="C57" t="inlineStr">
        <is>
          <t>Föryngringsavverkning</t>
        </is>
      </c>
      <c r="D57" s="1" t="n">
        <v>44757</v>
      </c>
      <c r="E57" s="1" t="n">
        <v>46268</v>
      </c>
      <c r="F57" t="inlineStr">
        <is>
          <t>VÄSTRA GÖTALANDS LÄN</t>
        </is>
      </c>
      <c r="G57" t="inlineStr">
        <is>
          <t>STENUNGSUND</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40950-2023</t>
        </is>
      </c>
      <c r="B58" t="inlineStr">
        <is>
          <t>avverkningsanmälan</t>
        </is>
      </c>
      <c r="C58" t="inlineStr">
        <is>
          <t>Föryngringsavverkning</t>
        </is>
      </c>
      <c r="D58" s="1" t="n">
        <v>45173</v>
      </c>
      <c r="E58" s="1" t="n">
        <v>46268</v>
      </c>
      <c r="F58" t="inlineStr">
        <is>
          <t>VÄSTRA GÖTALANDS LÄN</t>
        </is>
      </c>
      <c r="G58" t="inlineStr">
        <is>
          <t>STENUNGSUND</t>
        </is>
      </c>
      <c r="I58" t="n">
        <v>6.3</v>
      </c>
      <c r="J58" t="n">
        <v>0</v>
      </c>
      <c r="K58" t="n">
        <v>0</v>
      </c>
      <c r="L58" t="n">
        <v>0</v>
      </c>
      <c r="M58" t="n">
        <v>0</v>
      </c>
      <c r="N58" t="n">
        <v>0</v>
      </c>
      <c r="O58" t="n">
        <v>0</v>
      </c>
      <c r="P58" t="n">
        <v>0</v>
      </c>
      <c r="Q58" t="n">
        <v>0</v>
      </c>
      <c r="R58" t="n">
        <v>0</v>
      </c>
      <c r="S58" t="n">
        <v>0</v>
      </c>
      <c r="T58" t="n">
        <v>0</v>
      </c>
      <c r="U58" t="n">
        <v>0</v>
      </c>
      <c r="V58" s="2" t="inlineStr"/>
    </row>
    <row r="59" ht="15" customHeight="1">
      <c r="A59" t="inlineStr">
        <is>
          <t>A 9282-2025</t>
        </is>
      </c>
      <c r="B59" t="inlineStr">
        <is>
          <t>avverkningsanmälan</t>
        </is>
      </c>
      <c r="C59" t="inlineStr">
        <is>
          <t>Föryngringsavverkning</t>
        </is>
      </c>
      <c r="D59" s="1" t="n">
        <v>45714</v>
      </c>
      <c r="E59" s="1" t="n">
        <v>46268</v>
      </c>
      <c r="F59" t="inlineStr">
        <is>
          <t>VÄSTRA GÖTALANDS LÄN</t>
        </is>
      </c>
      <c r="G59" t="inlineStr">
        <is>
          <t>STENUNGSUND</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57768-2024</t>
        </is>
      </c>
      <c r="B60" t="inlineStr">
        <is>
          <t>avverkningsanmälan</t>
        </is>
      </c>
      <c r="C60" t="inlineStr">
        <is>
          <t>Föryngringsavverkning</t>
        </is>
      </c>
      <c r="D60" s="1" t="n">
        <v>45630</v>
      </c>
      <c r="E60" s="1" t="n">
        <v>46268</v>
      </c>
      <c r="F60" t="inlineStr">
        <is>
          <t>VÄSTRA GÖTALANDS LÄN</t>
        </is>
      </c>
      <c r="G60" t="inlineStr">
        <is>
          <t>STENUNGSUND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57766-2024</t>
        </is>
      </c>
      <c r="B61" t="inlineStr">
        <is>
          <t>avverkningsanmälan</t>
        </is>
      </c>
      <c r="C61" t="inlineStr">
        <is>
          <t>Föryngringsavverkning</t>
        </is>
      </c>
      <c r="D61" s="1" t="n">
        <v>45630</v>
      </c>
      <c r="E61" s="1" t="n">
        <v>46268</v>
      </c>
      <c r="F61" t="inlineStr">
        <is>
          <t>VÄSTRA GÖTALANDS LÄN</t>
        </is>
      </c>
      <c r="G61" t="inlineStr">
        <is>
          <t>STENUNGSUND</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57767-2024</t>
        </is>
      </c>
      <c r="B62" t="inlineStr">
        <is>
          <t>avverkningsanmälan</t>
        </is>
      </c>
      <c r="C62" t="inlineStr">
        <is>
          <t>Föryngringsavverkning</t>
        </is>
      </c>
      <c r="D62" s="1" t="n">
        <v>45630</v>
      </c>
      <c r="E62" s="1" t="n">
        <v>46268</v>
      </c>
      <c r="F62" t="inlineStr">
        <is>
          <t>VÄSTRA GÖTALANDS LÄN</t>
        </is>
      </c>
      <c r="G62" t="inlineStr">
        <is>
          <t>STENUNGSUND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57769-2024</t>
        </is>
      </c>
      <c r="B63" t="inlineStr">
        <is>
          <t>avverkningsanmälan</t>
        </is>
      </c>
      <c r="C63" t="inlineStr">
        <is>
          <t>Föryngringsavverkning</t>
        </is>
      </c>
      <c r="D63" s="1" t="n">
        <v>45630</v>
      </c>
      <c r="E63" s="1" t="n">
        <v>46268</v>
      </c>
      <c r="F63" t="inlineStr">
        <is>
          <t>VÄSTRA GÖTALANDS LÄN</t>
        </is>
      </c>
      <c r="G63" t="inlineStr">
        <is>
          <t>STENUNGSUND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22728-2025</t>
        </is>
      </c>
      <c r="B64" t="inlineStr">
        <is>
          <t>avverkningsanmälan</t>
        </is>
      </c>
      <c r="C64" t="inlineStr">
        <is>
          <t>Föryngringsavverkning</t>
        </is>
      </c>
      <c r="D64" s="1" t="n">
        <v>45789</v>
      </c>
      <c r="E64" s="1" t="n">
        <v>46268</v>
      </c>
      <c r="F64" t="inlineStr">
        <is>
          <t>VÄSTRA GÖTALANDS LÄN</t>
        </is>
      </c>
      <c r="G64" t="inlineStr">
        <is>
          <t>STENUNGSUND</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60550-2023</t>
        </is>
      </c>
      <c r="B65" t="inlineStr">
        <is>
          <t>avverkningsanmälan</t>
        </is>
      </c>
      <c r="C65" t="inlineStr">
        <is>
          <t>Föryngringsavverkning</t>
        </is>
      </c>
      <c r="D65" s="1" t="n">
        <v>45259</v>
      </c>
      <c r="E65" s="1" t="n">
        <v>46268</v>
      </c>
      <c r="F65" t="inlineStr">
        <is>
          <t>VÄSTRA GÖTALANDS LÄN</t>
        </is>
      </c>
      <c r="G65" t="inlineStr">
        <is>
          <t>STENUNGSUND</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14981-2025</t>
        </is>
      </c>
      <c r="B66" t="inlineStr">
        <is>
          <t>avverkningsanmälan</t>
        </is>
      </c>
      <c r="C66" t="inlineStr">
        <is>
          <t>Föryngringsavverkning</t>
        </is>
      </c>
      <c r="D66" s="1" t="n">
        <v>45743</v>
      </c>
      <c r="E66" s="1" t="n">
        <v>46268</v>
      </c>
      <c r="F66" t="inlineStr">
        <is>
          <t>VÄSTRA GÖTALANDS LÄN</t>
        </is>
      </c>
      <c r="G66" t="inlineStr">
        <is>
          <t>STENUNGSUND</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50205-2025</t>
        </is>
      </c>
      <c r="B67" t="inlineStr">
        <is>
          <t>avverkningsanmälan</t>
        </is>
      </c>
      <c r="C67" t="inlineStr">
        <is>
          <t>Föryngringsavverkning</t>
        </is>
      </c>
      <c r="D67" s="1" t="n">
        <v>45943</v>
      </c>
      <c r="E67" s="1" t="n">
        <v>46268</v>
      </c>
      <c r="F67" t="inlineStr">
        <is>
          <t>VÄSTRA GÖTALANDS LÄN</t>
        </is>
      </c>
      <c r="G67" t="inlineStr">
        <is>
          <t>STENUNGSUND</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50538-2025</t>
        </is>
      </c>
      <c r="B68" t="inlineStr">
        <is>
          <t>avverkningsanmälan</t>
        </is>
      </c>
      <c r="C68" t="inlineStr">
        <is>
          <t>Föryngringsavverkning</t>
        </is>
      </c>
      <c r="D68" s="1" t="n">
        <v>45945</v>
      </c>
      <c r="E68" s="1" t="n">
        <v>46268</v>
      </c>
      <c r="F68" t="inlineStr">
        <is>
          <t>VÄSTRA GÖTALANDS LÄN</t>
        </is>
      </c>
      <c r="G68" t="inlineStr">
        <is>
          <t>STENUNGSUND</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50543-2025</t>
        </is>
      </c>
      <c r="B69" t="inlineStr">
        <is>
          <t>avverkningsanmälan</t>
        </is>
      </c>
      <c r="C69" t="inlineStr">
        <is>
          <t>Föryngringsavverkning</t>
        </is>
      </c>
      <c r="D69" s="1" t="n">
        <v>45945</v>
      </c>
      <c r="E69" s="1" t="n">
        <v>46268</v>
      </c>
      <c r="F69" t="inlineStr">
        <is>
          <t>VÄSTRA GÖTALANDS LÄN</t>
        </is>
      </c>
      <c r="G69" t="inlineStr">
        <is>
          <t>STENUNGSUND</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52012-2025</t>
        </is>
      </c>
      <c r="B70" t="inlineStr">
        <is>
          <t>avverkningsanmälan</t>
        </is>
      </c>
      <c r="C70" t="inlineStr">
        <is>
          <t>Föryngringsavverkning</t>
        </is>
      </c>
      <c r="D70" s="1" t="n">
        <v>45952</v>
      </c>
      <c r="E70" s="1" t="n">
        <v>46268</v>
      </c>
      <c r="F70" t="inlineStr">
        <is>
          <t>VÄSTRA GÖTALANDS LÄN</t>
        </is>
      </c>
      <c r="G70" t="inlineStr">
        <is>
          <t>STENUNGSUND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11362-2025</t>
        </is>
      </c>
      <c r="B71" t="inlineStr">
        <is>
          <t>avverkningsanmälan</t>
        </is>
      </c>
      <c r="C71" t="inlineStr">
        <is>
          <t>Föryngringsavverkning</t>
        </is>
      </c>
      <c r="D71" s="1" t="n">
        <v>45726</v>
      </c>
      <c r="E71" s="1" t="n">
        <v>46268</v>
      </c>
      <c r="F71" t="inlineStr">
        <is>
          <t>VÄSTRA GÖTALANDS LÄN</t>
        </is>
      </c>
      <c r="G71" t="inlineStr">
        <is>
          <t>STENUNGSUND</t>
        </is>
      </c>
      <c r="I71" t="n">
        <v>6.4</v>
      </c>
      <c r="J71" t="n">
        <v>0</v>
      </c>
      <c r="K71" t="n">
        <v>0</v>
      </c>
      <c r="L71" t="n">
        <v>0</v>
      </c>
      <c r="M71" t="n">
        <v>0</v>
      </c>
      <c r="N71" t="n">
        <v>0</v>
      </c>
      <c r="O71" t="n">
        <v>0</v>
      </c>
      <c r="P71" t="n">
        <v>0</v>
      </c>
      <c r="Q71" t="n">
        <v>0</v>
      </c>
      <c r="R71" t="n">
        <v>0</v>
      </c>
      <c r="S71" t="n">
        <v>0</v>
      </c>
      <c r="T71" t="n">
        <v>0</v>
      </c>
      <c r="U71" t="n">
        <v>0</v>
      </c>
      <c r="V71" s="2" t="inlineStr"/>
    </row>
    <row r="72" ht="15" customHeight="1">
      <c r="A72" t="inlineStr">
        <is>
          <t>A 54247-2025</t>
        </is>
      </c>
      <c r="B72" t="inlineStr">
        <is>
          <t>avverkningsanmälan</t>
        </is>
      </c>
      <c r="C72" t="inlineStr">
        <is>
          <t>Föryngringsavverkning</t>
        </is>
      </c>
      <c r="D72" s="1" t="n">
        <v>45964</v>
      </c>
      <c r="E72" s="1" t="n">
        <v>46268</v>
      </c>
      <c r="F72" t="inlineStr">
        <is>
          <t>VÄSTRA GÖTALANDS LÄN</t>
        </is>
      </c>
      <c r="G72" t="inlineStr">
        <is>
          <t>STENUNGSUND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36018-2025</t>
        </is>
      </c>
      <c r="B73" t="inlineStr">
        <is>
          <t>avverkningsanmälan</t>
        </is>
      </c>
      <c r="C73" t="inlineStr">
        <is>
          <t>Föryngringsavverkning</t>
        </is>
      </c>
      <c r="D73" s="1" t="n">
        <v>45863</v>
      </c>
      <c r="E73" s="1" t="n">
        <v>46268</v>
      </c>
      <c r="F73" t="inlineStr">
        <is>
          <t>VÄSTRA GÖTALANDS LÄN</t>
        </is>
      </c>
      <c r="G73" t="inlineStr">
        <is>
          <t>STENUNGSUND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32960-2023</t>
        </is>
      </c>
      <c r="B74" t="inlineStr">
        <is>
          <t>avverkningsanmälan</t>
        </is>
      </c>
      <c r="C74" t="inlineStr">
        <is>
          <t>Avverkning för annat ändamål</t>
        </is>
      </c>
      <c r="D74" s="1" t="n">
        <v>45125</v>
      </c>
      <c r="E74" s="1" t="n">
        <v>46268</v>
      </c>
      <c r="F74" t="inlineStr">
        <is>
          <t>VÄSTRA GÖTALANDS LÄN</t>
        </is>
      </c>
      <c r="G74" t="inlineStr">
        <is>
          <t>STENUNGSUND</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6913-2024</t>
        </is>
      </c>
      <c r="B75" t="inlineStr">
        <is>
          <t>avverkningsanmälan</t>
        </is>
      </c>
      <c r="C75" t="inlineStr">
        <is>
          <t>Föryngringsavverkning</t>
        </is>
      </c>
      <c r="D75" s="1" t="n">
        <v>45343</v>
      </c>
      <c r="E75" s="1" t="n">
        <v>46268</v>
      </c>
      <c r="F75" t="inlineStr">
        <is>
          <t>VÄSTRA GÖTALANDS LÄN</t>
        </is>
      </c>
      <c r="G75" t="inlineStr">
        <is>
          <t>STENUNGSUND</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4578-2023</t>
        </is>
      </c>
      <c r="B76" t="inlineStr">
        <is>
          <t>avverkningsanmälan</t>
        </is>
      </c>
      <c r="C76" t="inlineStr">
        <is>
          <t>Föryngringsavverkning</t>
        </is>
      </c>
      <c r="D76" s="1" t="n">
        <v>44951</v>
      </c>
      <c r="E76" s="1" t="n">
        <v>46268</v>
      </c>
      <c r="F76" t="inlineStr">
        <is>
          <t>VÄSTRA GÖTALANDS LÄN</t>
        </is>
      </c>
      <c r="G76" t="inlineStr">
        <is>
          <t>STENUNGSUND</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809-2025</t>
        </is>
      </c>
      <c r="B77" t="inlineStr">
        <is>
          <t>avverkningsanmälan</t>
        </is>
      </c>
      <c r="C77" t="inlineStr">
        <is>
          <t>Föryngringsavverkning</t>
        </is>
      </c>
      <c r="D77" s="1" t="n">
        <v>45665</v>
      </c>
      <c r="E77" s="1" t="n">
        <v>46268</v>
      </c>
      <c r="F77" t="inlineStr">
        <is>
          <t>VÄSTRA GÖTALANDS LÄN</t>
        </is>
      </c>
      <c r="G77" t="inlineStr">
        <is>
          <t>STENUNGSUND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10472-2024</t>
        </is>
      </c>
      <c r="B78" t="inlineStr">
        <is>
          <t>avverkningsanmälan</t>
        </is>
      </c>
      <c r="C78" t="inlineStr">
        <is>
          <t>Föryngringsavverkning</t>
        </is>
      </c>
      <c r="D78" s="1" t="n">
        <v>45366</v>
      </c>
      <c r="E78" s="1" t="n">
        <v>46268</v>
      </c>
      <c r="F78" t="inlineStr">
        <is>
          <t>VÄSTRA GÖTALANDS LÄN</t>
        </is>
      </c>
      <c r="G78" t="inlineStr">
        <is>
          <t>STENUNGSUND</t>
        </is>
      </c>
      <c r="I78" t="n">
        <v>6.3</v>
      </c>
      <c r="J78" t="n">
        <v>0</v>
      </c>
      <c r="K78" t="n">
        <v>0</v>
      </c>
      <c r="L78" t="n">
        <v>0</v>
      </c>
      <c r="M78" t="n">
        <v>0</v>
      </c>
      <c r="N78" t="n">
        <v>0</v>
      </c>
      <c r="O78" t="n">
        <v>0</v>
      </c>
      <c r="P78" t="n">
        <v>0</v>
      </c>
      <c r="Q78" t="n">
        <v>0</v>
      </c>
      <c r="R78" t="n">
        <v>0</v>
      </c>
      <c r="S78" t="n">
        <v>0</v>
      </c>
      <c r="T78" t="n">
        <v>0</v>
      </c>
      <c r="U78" t="n">
        <v>0</v>
      </c>
      <c r="V78" s="2" t="inlineStr"/>
    </row>
    <row r="79" ht="15" customHeight="1">
      <c r="A79" t="inlineStr">
        <is>
          <t>A 6699-2022</t>
        </is>
      </c>
      <c r="B79" t="inlineStr">
        <is>
          <t>avverkningsanmälan</t>
        </is>
      </c>
      <c r="C79" t="inlineStr">
        <is>
          <t>Avverkning för annat ändamål</t>
        </is>
      </c>
      <c r="D79" s="1" t="n">
        <v>44602</v>
      </c>
      <c r="E79" s="1" t="n">
        <v>46268</v>
      </c>
      <c r="F79" t="inlineStr">
        <is>
          <t>VÄSTRA GÖTALANDS LÄN</t>
        </is>
      </c>
      <c r="G79" t="inlineStr">
        <is>
          <t>STENUNGSUND</t>
        </is>
      </c>
      <c r="I79" t="n">
        <v>10</v>
      </c>
      <c r="J79" t="n">
        <v>0</v>
      </c>
      <c r="K79" t="n">
        <v>0</v>
      </c>
      <c r="L79" t="n">
        <v>0</v>
      </c>
      <c r="M79" t="n">
        <v>0</v>
      </c>
      <c r="N79" t="n">
        <v>0</v>
      </c>
      <c r="O79" t="n">
        <v>0</v>
      </c>
      <c r="P79" t="n">
        <v>0</v>
      </c>
      <c r="Q79" t="n">
        <v>0</v>
      </c>
      <c r="R79" t="n">
        <v>0</v>
      </c>
      <c r="S79" t="n">
        <v>0</v>
      </c>
      <c r="T79" t="n">
        <v>0</v>
      </c>
      <c r="U79" t="n">
        <v>0</v>
      </c>
      <c r="V79" s="2" t="inlineStr"/>
    </row>
    <row r="80" ht="15" customHeight="1">
      <c r="A80" t="inlineStr">
        <is>
          <t>A 60687-2025</t>
        </is>
      </c>
      <c r="B80" t="inlineStr">
        <is>
          <t>avverkningsanmälan</t>
        </is>
      </c>
      <c r="C80" t="inlineStr">
        <is>
          <t>Föryngringsavverkning</t>
        </is>
      </c>
      <c r="D80" s="1" t="n">
        <v>45996</v>
      </c>
      <c r="E80" s="1" t="n">
        <v>46268</v>
      </c>
      <c r="F80" t="inlineStr">
        <is>
          <t>VÄSTRA GÖTALANDS LÄN</t>
        </is>
      </c>
      <c r="G80" t="inlineStr">
        <is>
          <t>STENUNGSUND</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34253-2023</t>
        </is>
      </c>
      <c r="B81" t="inlineStr">
        <is>
          <t>avverkningsanmälan</t>
        </is>
      </c>
      <c r="C81" t="inlineStr">
        <is>
          <t>Föryngringsavverkning</t>
        </is>
      </c>
      <c r="D81" s="1" t="n">
        <v>45138</v>
      </c>
      <c r="E81" s="1" t="n">
        <v>46268</v>
      </c>
      <c r="F81" t="inlineStr">
        <is>
          <t>VÄSTRA GÖTALANDS LÄN</t>
        </is>
      </c>
      <c r="G81" t="inlineStr">
        <is>
          <t>STENUNGSUND</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64992-2023</t>
        </is>
      </c>
      <c r="B82" t="inlineStr">
        <is>
          <t>avverkningsanmälan</t>
        </is>
      </c>
      <c r="C82" t="inlineStr">
        <is>
          <t>Föryngringsavverkning</t>
        </is>
      </c>
      <c r="D82" s="1" t="n">
        <v>45286</v>
      </c>
      <c r="E82" s="1" t="n">
        <v>46268</v>
      </c>
      <c r="F82" t="inlineStr">
        <is>
          <t>VÄSTRA GÖTALANDS LÄN</t>
        </is>
      </c>
      <c r="G82" t="inlineStr">
        <is>
          <t>STENUNGSUND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8567-2023</t>
        </is>
      </c>
      <c r="B83" t="inlineStr">
        <is>
          <t>avverkningsanmälan</t>
        </is>
      </c>
      <c r="C83" t="inlineStr">
        <is>
          <t>Föryngringsavverkning</t>
        </is>
      </c>
      <c r="D83" s="1" t="n">
        <v>44977</v>
      </c>
      <c r="E83" s="1" t="n">
        <v>46268</v>
      </c>
      <c r="F83" t="inlineStr">
        <is>
          <t>VÄSTRA GÖTALANDS LÄN</t>
        </is>
      </c>
      <c r="G83" t="inlineStr">
        <is>
          <t>STENUNGSUND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17362-2026</t>
        </is>
      </c>
      <c r="B84" t="inlineStr">
        <is>
          <t>avverkningsanmälan</t>
        </is>
      </c>
      <c r="C84" t="inlineStr">
        <is>
          <t>Föryngringsavverkning</t>
        </is>
      </c>
      <c r="D84" s="1" t="n">
        <v>46119</v>
      </c>
      <c r="E84" s="1" t="n">
        <v>46268</v>
      </c>
      <c r="F84" t="inlineStr">
        <is>
          <t>VÄSTRA GÖTALANDS LÄN</t>
        </is>
      </c>
      <c r="G84" t="inlineStr">
        <is>
          <t>STENUNGSUND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18016-2026</t>
        </is>
      </c>
      <c r="B85" t="inlineStr">
        <is>
          <t>avverkningsanmälan</t>
        </is>
      </c>
      <c r="C85" t="inlineStr">
        <is>
          <t>Föryngringsavverkning</t>
        </is>
      </c>
      <c r="D85" s="1" t="n">
        <v>46125</v>
      </c>
      <c r="E85" s="1" t="n">
        <v>46268</v>
      </c>
      <c r="F85" t="inlineStr">
        <is>
          <t>VÄSTRA GÖTALANDS LÄN</t>
        </is>
      </c>
      <c r="G85" t="inlineStr">
        <is>
          <t>STENUNGSUND</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60158-2024</t>
        </is>
      </c>
      <c r="B86" t="inlineStr">
        <is>
          <t>avverkningsanmälan</t>
        </is>
      </c>
      <c r="C86" t="inlineStr">
        <is>
          <t>Föryngringsavverkning</t>
        </is>
      </c>
      <c r="D86" s="1" t="n">
        <v>45642</v>
      </c>
      <c r="E86" s="1" t="n">
        <v>46268</v>
      </c>
      <c r="F86" t="inlineStr">
        <is>
          <t>VÄSTRA GÖTALANDS LÄN</t>
        </is>
      </c>
      <c r="G86" t="inlineStr">
        <is>
          <t>STENUNGSUND</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54931-2024</t>
        </is>
      </c>
      <c r="B87" t="inlineStr">
        <is>
          <t>avverkningsanmälan</t>
        </is>
      </c>
      <c r="C87" t="inlineStr">
        <is>
          <t>Föryngringsavverkning</t>
        </is>
      </c>
      <c r="D87" s="1" t="n">
        <v>45618</v>
      </c>
      <c r="E87" s="1" t="n">
        <v>46268</v>
      </c>
      <c r="F87" t="inlineStr">
        <is>
          <t>VÄSTRA GÖTALANDS LÄN</t>
        </is>
      </c>
      <c r="G87" t="inlineStr">
        <is>
          <t>STENUNGSUND</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19302-2025</t>
        </is>
      </c>
      <c r="B88" t="inlineStr">
        <is>
          <t>avverkningsanmälan</t>
        </is>
      </c>
      <c r="C88" t="inlineStr">
        <is>
          <t>Föryngringsavverkning</t>
        </is>
      </c>
      <c r="D88" s="1" t="n">
        <v>45769</v>
      </c>
      <c r="E88" s="1" t="n">
        <v>46268</v>
      </c>
      <c r="F88" t="inlineStr">
        <is>
          <t>VÄSTRA GÖTALANDS LÄN</t>
        </is>
      </c>
      <c r="G88" t="inlineStr">
        <is>
          <t>STENUNGSUND</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51367-2024</t>
        </is>
      </c>
      <c r="B89" t="inlineStr">
        <is>
          <t>avverkningsanmälan</t>
        </is>
      </c>
      <c r="C89" t="inlineStr">
        <is>
          <t>Föryngringsavverkning</t>
        </is>
      </c>
      <c r="D89" s="1" t="n">
        <v>45604</v>
      </c>
      <c r="E89" s="1" t="n">
        <v>46268</v>
      </c>
      <c r="F89" t="inlineStr">
        <is>
          <t>VÄSTRA GÖTALANDS LÄN</t>
        </is>
      </c>
      <c r="G89" t="inlineStr">
        <is>
          <t>STENUNGSUND</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4734-2023</t>
        </is>
      </c>
      <c r="B90" t="inlineStr">
        <is>
          <t>avverkningsanmälan</t>
        </is>
      </c>
      <c r="C90" t="inlineStr">
        <is>
          <t>Föryngringsavverkning</t>
        </is>
      </c>
      <c r="D90" s="1" t="n">
        <v>44957</v>
      </c>
      <c r="E90" s="1" t="n">
        <v>46268</v>
      </c>
      <c r="F90" t="inlineStr">
        <is>
          <t>VÄSTRA GÖTALANDS LÄN</t>
        </is>
      </c>
      <c r="G90" t="inlineStr">
        <is>
          <t>STENUNGSUND</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15726-2025</t>
        </is>
      </c>
      <c r="B91" t="inlineStr">
        <is>
          <t>avverkningsanmälan</t>
        </is>
      </c>
      <c r="C91" t="inlineStr">
        <is>
          <t>Föryngringsavverkning</t>
        </is>
      </c>
      <c r="D91" s="1" t="n">
        <v>45748</v>
      </c>
      <c r="E91" s="1" t="n">
        <v>46268</v>
      </c>
      <c r="F91" t="inlineStr">
        <is>
          <t>VÄSTRA GÖTALANDS LÄN</t>
        </is>
      </c>
      <c r="G91" t="inlineStr">
        <is>
          <t>STENUNGSUND</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51661-2023</t>
        </is>
      </c>
      <c r="B92" t="inlineStr">
        <is>
          <t>avverkningsanmälan</t>
        </is>
      </c>
      <c r="C92" t="inlineStr">
        <is>
          <t>Föryngringsavverkning</t>
        </is>
      </c>
      <c r="D92" s="1" t="n">
        <v>45215</v>
      </c>
      <c r="E92" s="1" t="n">
        <v>46268</v>
      </c>
      <c r="F92" t="inlineStr">
        <is>
          <t>VÄSTRA GÖTALANDS LÄN</t>
        </is>
      </c>
      <c r="G92" t="inlineStr">
        <is>
          <t>STENUNGSUND</t>
        </is>
      </c>
      <c r="I92" t="n">
        <v>9.1</v>
      </c>
      <c r="J92" t="n">
        <v>0</v>
      </c>
      <c r="K92" t="n">
        <v>0</v>
      </c>
      <c r="L92" t="n">
        <v>0</v>
      </c>
      <c r="M92" t="n">
        <v>0</v>
      </c>
      <c r="N92" t="n">
        <v>0</v>
      </c>
      <c r="O92" t="n">
        <v>0</v>
      </c>
      <c r="P92" t="n">
        <v>0</v>
      </c>
      <c r="Q92" t="n">
        <v>0</v>
      </c>
      <c r="R92" t="n">
        <v>0</v>
      </c>
      <c r="S92" t="n">
        <v>0</v>
      </c>
      <c r="T92" t="n">
        <v>0</v>
      </c>
      <c r="U92" t="n">
        <v>0</v>
      </c>
      <c r="V92" s="2" t="inlineStr"/>
    </row>
    <row r="93" ht="15" customHeight="1">
      <c r="A93" t="inlineStr">
        <is>
          <t>A 3243-2022</t>
        </is>
      </c>
      <c r="B93" t="inlineStr">
        <is>
          <t>avverkningsanmälan</t>
        </is>
      </c>
      <c r="C93" t="inlineStr">
        <is>
          <t>Föryngringsavverkning</t>
        </is>
      </c>
      <c r="D93" s="1" t="n">
        <v>44582</v>
      </c>
      <c r="E93" s="1" t="n">
        <v>46268</v>
      </c>
      <c r="F93" t="inlineStr">
        <is>
          <t>VÄSTRA GÖTALANDS LÄN</t>
        </is>
      </c>
      <c r="G93" t="inlineStr">
        <is>
          <t>STENUNGSUND</t>
        </is>
      </c>
      <c r="I93" t="n">
        <v>7.6</v>
      </c>
      <c r="J93" t="n">
        <v>0</v>
      </c>
      <c r="K93" t="n">
        <v>0</v>
      </c>
      <c r="L93" t="n">
        <v>0</v>
      </c>
      <c r="M93" t="n">
        <v>0</v>
      </c>
      <c r="N93" t="n">
        <v>0</v>
      </c>
      <c r="O93" t="n">
        <v>0</v>
      </c>
      <c r="P93" t="n">
        <v>0</v>
      </c>
      <c r="Q93" t="n">
        <v>0</v>
      </c>
      <c r="R93" t="n">
        <v>0</v>
      </c>
      <c r="S93" t="n">
        <v>0</v>
      </c>
      <c r="T93" t="n">
        <v>0</v>
      </c>
      <c r="U93" t="n">
        <v>0</v>
      </c>
      <c r="V93" s="2" t="inlineStr"/>
    </row>
    <row r="94" ht="15" customHeight="1">
      <c r="A94" t="inlineStr">
        <is>
          <t>A 15535-2024</t>
        </is>
      </c>
      <c r="B94" t="inlineStr">
        <is>
          <t>avverkningsanmälan</t>
        </is>
      </c>
      <c r="C94" t="inlineStr">
        <is>
          <t>Föryngringsavverkning</t>
        </is>
      </c>
      <c r="D94" s="1" t="n">
        <v>45401</v>
      </c>
      <c r="E94" s="1" t="n">
        <v>46268</v>
      </c>
      <c r="F94" t="inlineStr">
        <is>
          <t>VÄSTRA GÖTALANDS LÄN</t>
        </is>
      </c>
      <c r="G94" t="inlineStr">
        <is>
          <t>STENUNGSUND</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23115-2026</t>
        </is>
      </c>
      <c r="B95" t="inlineStr">
        <is>
          <t>avverkningsanmälan</t>
        </is>
      </c>
      <c r="C95" t="inlineStr">
        <is>
          <t>Föryngringsavverkning</t>
        </is>
      </c>
      <c r="D95" s="1" t="n">
        <v>46161</v>
      </c>
      <c r="E95" s="1" t="n">
        <v>46268</v>
      </c>
      <c r="F95" t="inlineStr">
        <is>
          <t>VÄSTRA GÖTALANDS LÄN</t>
        </is>
      </c>
      <c r="G95" t="inlineStr">
        <is>
          <t>STENUNGSUND</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19709-2026</t>
        </is>
      </c>
      <c r="B96" t="inlineStr">
        <is>
          <t>avverkningsanmälan</t>
        </is>
      </c>
      <c r="C96" t="inlineStr">
        <is>
          <t>Föryngringsavverkning</t>
        </is>
      </c>
      <c r="D96" s="1" t="n">
        <v>46134</v>
      </c>
      <c r="E96" s="1" t="n">
        <v>46268</v>
      </c>
      <c r="F96" t="inlineStr">
        <is>
          <t>VÄSTRA GÖTALANDS LÄN</t>
        </is>
      </c>
      <c r="G96" t="inlineStr">
        <is>
          <t>STENUNGSUND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19059-2023</t>
        </is>
      </c>
      <c r="B97" t="inlineStr">
        <is>
          <t>avverkningsanmälan</t>
        </is>
      </c>
      <c r="C97" t="inlineStr">
        <is>
          <t>Föryngringsavverkning</t>
        </is>
      </c>
      <c r="D97" s="1" t="n">
        <v>45048</v>
      </c>
      <c r="E97" s="1" t="n">
        <v>46268</v>
      </c>
      <c r="F97" t="inlineStr">
        <is>
          <t>VÄSTRA GÖTALANDS LÄN</t>
        </is>
      </c>
      <c r="G97" t="inlineStr">
        <is>
          <t>STENUNGSUND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26654-2026</t>
        </is>
      </c>
      <c r="B98" t="inlineStr">
        <is>
          <t>avverkningsanmälan</t>
        </is>
      </c>
      <c r="C98" t="inlineStr">
        <is>
          <t>Föryngringsavverkning</t>
        </is>
      </c>
      <c r="D98" s="1" t="n">
        <v>46184</v>
      </c>
      <c r="E98" s="1" t="n">
        <v>46268</v>
      </c>
      <c r="F98" t="inlineStr">
        <is>
          <t>VÄSTRA GÖTALANDS LÄN</t>
        </is>
      </c>
      <c r="G98" t="inlineStr">
        <is>
          <t>STENUNGSUND</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28665-2026</t>
        </is>
      </c>
      <c r="B99" t="inlineStr">
        <is>
          <t>avverkningsanmälan</t>
        </is>
      </c>
      <c r="C99" t="inlineStr">
        <is>
          <t>Föryngringsavverkning</t>
        </is>
      </c>
      <c r="D99" s="1" t="n">
        <v>46191</v>
      </c>
      <c r="E99" s="1" t="n">
        <v>46268</v>
      </c>
      <c r="F99" t="inlineStr">
        <is>
          <t>VÄSTRA GÖTALANDS LÄN</t>
        </is>
      </c>
      <c r="G99" t="inlineStr">
        <is>
          <t>STENUNGSUND</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48895-2023</t>
        </is>
      </c>
      <c r="B100" t="inlineStr">
        <is>
          <t>avverkningsanmälan</t>
        </is>
      </c>
      <c r="C100" t="inlineStr">
        <is>
          <t>Föryngringsavverkning</t>
        </is>
      </c>
      <c r="D100" s="1" t="n">
        <v>45209</v>
      </c>
      <c r="E100" s="1" t="n">
        <v>46268</v>
      </c>
      <c r="F100" t="inlineStr">
        <is>
          <t>VÄSTRA GÖTALANDS LÄN</t>
        </is>
      </c>
      <c r="G100" t="inlineStr">
        <is>
          <t>STENUNGSUND</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32931-2026</t>
        </is>
      </c>
      <c r="B101" t="inlineStr">
        <is>
          <t>avverkningsanmälan</t>
        </is>
      </c>
      <c r="C101" t="inlineStr">
        <is>
          <t>Föryngringsavverkning</t>
        </is>
      </c>
      <c r="D101" s="1" t="n">
        <v>46244</v>
      </c>
      <c r="E101" s="1" t="n">
        <v>46268</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30170-2026</t>
        </is>
      </c>
      <c r="B102" t="inlineStr">
        <is>
          <t>avverkningsanmälan</t>
        </is>
      </c>
      <c r="C102" t="inlineStr">
        <is>
          <t>Föryngringsavverkning</t>
        </is>
      </c>
      <c r="D102" s="1" t="n">
        <v>46206</v>
      </c>
      <c r="E102" s="1" t="n">
        <v>46268</v>
      </c>
      <c r="F102" t="inlineStr">
        <is>
          <t>VÄSTRA GÖTALANDS LÄN</t>
        </is>
      </c>
      <c r="G102" t="inlineStr">
        <is>
          <t>STENUNGSUND</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34555-2024</t>
        </is>
      </c>
      <c r="B103" t="inlineStr">
        <is>
          <t>avverkningsanmälan</t>
        </is>
      </c>
      <c r="C103" t="inlineStr">
        <is>
          <t>Föryngringsavverkning</t>
        </is>
      </c>
      <c r="D103" s="1" t="n">
        <v>45525</v>
      </c>
      <c r="E103" s="1" t="n">
        <v>46268</v>
      </c>
      <c r="F103" t="inlineStr">
        <is>
          <t>VÄSTRA GÖTALANDS LÄN</t>
        </is>
      </c>
      <c r="G103" t="inlineStr">
        <is>
          <t>STENUNGSUND</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32997-2025</t>
        </is>
      </c>
      <c r="B104" t="inlineStr">
        <is>
          <t>avverkningsanmälan</t>
        </is>
      </c>
      <c r="C104" t="inlineStr">
        <is>
          <t>Föryngringsavverkning</t>
        </is>
      </c>
      <c r="D104" s="1" t="n">
        <v>45840</v>
      </c>
      <c r="E104" s="1" t="n">
        <v>46268</v>
      </c>
      <c r="F104" t="inlineStr">
        <is>
          <t>VÄSTRA GÖTALANDS LÄN</t>
        </is>
      </c>
      <c r="G104" t="inlineStr">
        <is>
          <t>STENUNGSUND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33950-2023</t>
        </is>
      </c>
      <c r="B105" t="inlineStr">
        <is>
          <t>avverkningsanmälan</t>
        </is>
      </c>
      <c r="C105" t="inlineStr">
        <is>
          <t>Föryngringsavverkning</t>
        </is>
      </c>
      <c r="D105" s="1" t="n">
        <v>45134</v>
      </c>
      <c r="E105" s="1" t="n">
        <v>46268</v>
      </c>
      <c r="F105" t="inlineStr">
        <is>
          <t>VÄSTRA GÖTALANDS LÄN</t>
        </is>
      </c>
      <c r="G105" t="inlineStr">
        <is>
          <t>STENUNGSUND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24211-2025</t>
        </is>
      </c>
      <c r="B106" t="inlineStr">
        <is>
          <t>avverkningsanmälan</t>
        </is>
      </c>
      <c r="C106" t="inlineStr">
        <is>
          <t>Föryngringsavverkning</t>
        </is>
      </c>
      <c r="D106" s="1" t="n">
        <v>45797</v>
      </c>
      <c r="E106" s="1" t="n">
        <v>46268</v>
      </c>
      <c r="F106" t="inlineStr">
        <is>
          <t>VÄSTRA GÖTALANDS LÄN</t>
        </is>
      </c>
      <c r="G106" t="inlineStr">
        <is>
          <t>STENUNGSUND</t>
        </is>
      </c>
      <c r="I106" t="n">
        <v>1.4</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46268</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2026-09-03T02:09:32Z</dcterms:created>
  <dcterms:modified xmlns:dcterms="http://purl.org/dc/terms/" xmlns:xsi="http://www.w3.org/2001/XMLSchema-instance" xsi:type="dcterms:W3CDTF">2026-09-03T02:09:32Z</dcterms:modified>
</cp:coreProperties>
</file>