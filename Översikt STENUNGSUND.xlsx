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60706-2023</t>
        </is>
      </c>
      <c r="B7" s="1" t="n">
        <v>45260</v>
      </c>
      <c r="C7" s="1" t="n">
        <v>45880</v>
      </c>
      <c r="D7" t="inlineStr">
        <is>
          <t>VÄSTRA GÖTALANDS LÄN</t>
        </is>
      </c>
      <c r="E7" t="inlineStr">
        <is>
          <t>STENUNGSUND</t>
        </is>
      </c>
      <c r="G7" t="n">
        <v>2.4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Blåmossa</t>
        </is>
      </c>
      <c r="S7">
        <f>HYPERLINK("https://klasma.github.io/Logging_1415/artfynd/A 60706-2023 artfynd.xlsx", "A 60706-2023")</f>
        <v/>
      </c>
      <c r="T7">
        <f>HYPERLINK("https://klasma.github.io/Logging_1415/kartor/A 60706-2023 karta.png", "A 60706-2023")</f>
        <v/>
      </c>
      <c r="V7">
        <f>HYPERLINK("https://klasma.github.io/Logging_1415/klagomål/A 60706-2023 FSC-klagomål.docx", "A 60706-2023")</f>
        <v/>
      </c>
      <c r="W7">
        <f>HYPERLINK("https://klasma.github.io/Logging_1415/klagomålsmail/A 60706-2023 FSC-klagomål mail.docx", "A 60706-2023")</f>
        <v/>
      </c>
      <c r="X7">
        <f>HYPERLINK("https://klasma.github.io/Logging_1415/tillsyn/A 60706-2023 tillsynsbegäran.docx", "A 60706-2023")</f>
        <v/>
      </c>
      <c r="Y7">
        <f>HYPERLINK("https://klasma.github.io/Logging_1415/tillsynsmail/A 60706-2023 tillsynsbegäran mail.docx", "A 60706-2023")</f>
        <v/>
      </c>
      <c r="Z7">
        <f>HYPERLINK("https://klasma.github.io/Logging_1415/fåglar/A 60706-2023 prioriterade fågelarter.docx", "A 60706-2023")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45880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45880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12075-2022</t>
        </is>
      </c>
      <c r="B10" s="1" t="n">
        <v>44636.47275462963</v>
      </c>
      <c r="C10" s="1" t="n">
        <v>45880</v>
      </c>
      <c r="D10" t="inlineStr">
        <is>
          <t>VÄSTRA GÖTALANDS LÄN</t>
        </is>
      </c>
      <c r="E10" t="inlineStr">
        <is>
          <t>STENUNGSUND</t>
        </is>
      </c>
      <c r="G10" t="n">
        <v>7.5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HYPERLINK("https://klasma.github.io/Logging_1415/artfynd/A 12075-2022 artfynd.xlsx", "A 12075-2022")</f>
        <v/>
      </c>
      <c r="T10">
        <f>HYPERLINK("https://klasma.github.io/Logging_1415/kartor/A 12075-2022 karta.png", "A 12075-2022")</f>
        <v/>
      </c>
      <c r="V10">
        <f>HYPERLINK("https://klasma.github.io/Logging_1415/klagomål/A 12075-2022 FSC-klagomål.docx", "A 12075-2022")</f>
        <v/>
      </c>
      <c r="W10">
        <f>HYPERLINK("https://klasma.github.io/Logging_1415/klagomålsmail/A 12075-2022 FSC-klagomål mail.docx", "A 12075-2022")</f>
        <v/>
      </c>
      <c r="X10">
        <f>HYPERLINK("https://klasma.github.io/Logging_1415/tillsyn/A 12075-2022 tillsynsbegäran.docx", "A 12075-2022")</f>
        <v/>
      </c>
      <c r="Y10">
        <f>HYPERLINK("https://klasma.github.io/Logging_1415/tillsynsmail/A 12075-2022 tillsynsbegäran mail.docx", "A 12075-2022")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45880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45880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45880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50309-2021</t>
        </is>
      </c>
      <c r="B14" s="1" t="n">
        <v>44459</v>
      </c>
      <c r="C14" s="1" t="n">
        <v>45880</v>
      </c>
      <c r="D14" t="inlineStr">
        <is>
          <t>VÄSTRA GÖTALANDS LÄN</t>
        </is>
      </c>
      <c r="E14" t="inlineStr">
        <is>
          <t>STENUNGSUND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48215-2022</t>
        </is>
      </c>
      <c r="B15" s="1" t="n">
        <v>44858</v>
      </c>
      <c r="C15" s="1" t="n">
        <v>45880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45880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45880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45880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45880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45880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45880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45880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45880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45880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6293-2022</t>
        </is>
      </c>
      <c r="B25" s="1" t="n">
        <v>44600</v>
      </c>
      <c r="C25" s="1" t="n">
        <v>45880</v>
      </c>
      <c r="D25" t="inlineStr">
        <is>
          <t>VÄSTRA GÖTALANDS LÄN</t>
        </is>
      </c>
      <c r="E25" t="inlineStr">
        <is>
          <t>STENUNGSUND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45880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45880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45880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45880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45880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52952-2021</t>
        </is>
      </c>
      <c r="B31" s="1" t="n">
        <v>44467.5972337963</v>
      </c>
      <c r="C31" s="1" t="n">
        <v>45880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45880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19302-2025</t>
        </is>
      </c>
      <c r="B33" s="1" t="n">
        <v>45769.56519675926</v>
      </c>
      <c r="C33" s="1" t="n">
        <v>45880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45880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45880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45880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45880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45880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1898-2021</t>
        </is>
      </c>
      <c r="B39" s="1" t="n">
        <v>44210</v>
      </c>
      <c r="C39" s="1" t="n">
        <v>45880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60550-2023</t>
        </is>
      </c>
      <c r="B40" s="1" t="n">
        <v>45259.84060185185</v>
      </c>
      <c r="C40" s="1" t="n">
        <v>45880</v>
      </c>
      <c r="D40" t="inlineStr">
        <is>
          <t>VÄSTRA GÖTALANDS LÄN</t>
        </is>
      </c>
      <c r="E40" t="inlineStr">
        <is>
          <t>STENUNGSUND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19423-2025</t>
        </is>
      </c>
      <c r="B41" s="1" t="n">
        <v>45769.76158564815</v>
      </c>
      <c r="C41" s="1" t="n">
        <v>45880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19424-2025</t>
        </is>
      </c>
      <c r="B42" s="1" t="n">
        <v>45769.7637962963</v>
      </c>
      <c r="C42" s="1" t="n">
        <v>45880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8567-2023</t>
        </is>
      </c>
      <c r="B43" s="1" t="n">
        <v>44977.63353009259</v>
      </c>
      <c r="C43" s="1" t="n">
        <v>45880</v>
      </c>
      <c r="D43" t="inlineStr">
        <is>
          <t>VÄSTRA GÖTALANDS LÄN</t>
        </is>
      </c>
      <c r="E43" t="inlineStr">
        <is>
          <t>STENUNGSUND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4734-2023</t>
        </is>
      </c>
      <c r="B44" s="1" t="n">
        <v>44957</v>
      </c>
      <c r="C44" s="1" t="n">
        <v>45880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64992-2023</t>
        </is>
      </c>
      <c r="B45" s="1" t="n">
        <v>45286</v>
      </c>
      <c r="C45" s="1" t="n">
        <v>45880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15724-2025</t>
        </is>
      </c>
      <c r="B46" s="1" t="n">
        <v>45748</v>
      </c>
      <c r="C46" s="1" t="n">
        <v>45880</v>
      </c>
      <c r="D46" t="inlineStr">
        <is>
          <t>VÄSTRA GÖTALANDS LÄN</t>
        </is>
      </c>
      <c r="E46" t="inlineStr">
        <is>
          <t>STENUNGSUND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15726-2025</t>
        </is>
      </c>
      <c r="B47" s="1" t="n">
        <v>45748</v>
      </c>
      <c r="C47" s="1" t="n">
        <v>45880</v>
      </c>
      <c r="D47" t="inlineStr">
        <is>
          <t>VÄSTRA GÖTALANDS LÄN</t>
        </is>
      </c>
      <c r="E47" t="inlineStr">
        <is>
          <t>STENUNGSUND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809-2025</t>
        </is>
      </c>
      <c r="B48" s="1" t="n">
        <v>45665.5518287037</v>
      </c>
      <c r="C48" s="1" t="n">
        <v>45880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34555-2024</t>
        </is>
      </c>
      <c r="B49" s="1" t="n">
        <v>45525.9071875</v>
      </c>
      <c r="C49" s="1" t="n">
        <v>45880</v>
      </c>
      <c r="D49" t="inlineStr">
        <is>
          <t>VÄSTRA GÖTALANDS LÄN</t>
        </is>
      </c>
      <c r="E49" t="inlineStr">
        <is>
          <t>STENUNGSUND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20974-2025</t>
        </is>
      </c>
      <c r="B50" s="1" t="n">
        <v>45777.4587962963</v>
      </c>
      <c r="C50" s="1" t="n">
        <v>45880</v>
      </c>
      <c r="D50" t="inlineStr">
        <is>
          <t>VÄSTRA GÖTALANDS LÄN</t>
        </is>
      </c>
      <c r="E50" t="inlineStr">
        <is>
          <t>STENUNGSUND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8948-2022</t>
        </is>
      </c>
      <c r="B51" s="1" t="n">
        <v>44614</v>
      </c>
      <c r="C51" s="1" t="n">
        <v>45880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6147-2022</t>
        </is>
      </c>
      <c r="B52" s="1" t="n">
        <v>44599</v>
      </c>
      <c r="C52" s="1" t="n">
        <v>45880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6699-2022</t>
        </is>
      </c>
      <c r="B53" s="1" t="n">
        <v>44602</v>
      </c>
      <c r="C53" s="1" t="n">
        <v>45880</v>
      </c>
      <c r="D53" t="inlineStr">
        <is>
          <t>VÄSTRA GÖTALANDS LÄN</t>
        </is>
      </c>
      <c r="E53" t="inlineStr">
        <is>
          <t>STENUNGSUND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45880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22187-2025</t>
        </is>
      </c>
      <c r="B55" s="1" t="n">
        <v>45785.62372685185</v>
      </c>
      <c r="C55" s="1" t="n">
        <v>45880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72944-2021</t>
        </is>
      </c>
      <c r="B56" s="1" t="n">
        <v>44547.87140046297</v>
      </c>
      <c r="C56" s="1" t="n">
        <v>45880</v>
      </c>
      <c r="D56" t="inlineStr">
        <is>
          <t>VÄSTRA GÖTALANDS LÄN</t>
        </is>
      </c>
      <c r="E56" t="inlineStr">
        <is>
          <t>STENUNGSUND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45880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15535-2024</t>
        </is>
      </c>
      <c r="B58" s="1" t="n">
        <v>45401.610625</v>
      </c>
      <c r="C58" s="1" t="n">
        <v>45880</v>
      </c>
      <c r="D58" t="inlineStr">
        <is>
          <t>VÄSTRA GÖTALANDS LÄN</t>
        </is>
      </c>
      <c r="E58" t="inlineStr">
        <is>
          <t>STENUNGSUND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3243-2022</t>
        </is>
      </c>
      <c r="B59" s="1" t="n">
        <v>44582</v>
      </c>
      <c r="C59" s="1" t="n">
        <v>45880</v>
      </c>
      <c r="D59" t="inlineStr">
        <is>
          <t>VÄSTRA GÖTALANDS LÄN</t>
        </is>
      </c>
      <c r="E59" t="inlineStr">
        <is>
          <t>STENUNGSUND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22728-2025</t>
        </is>
      </c>
      <c r="B60" s="1" t="n">
        <v>45789.57516203704</v>
      </c>
      <c r="C60" s="1" t="n">
        <v>45880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34105-2024</t>
        </is>
      </c>
      <c r="B61" s="1" t="n">
        <v>45523.83888888889</v>
      </c>
      <c r="C61" s="1" t="n">
        <v>45880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13116-2025</t>
        </is>
      </c>
      <c r="B62" s="1" t="n">
        <v>45734.71525462963</v>
      </c>
      <c r="C62" s="1" t="n">
        <v>45880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57769-2024</t>
        </is>
      </c>
      <c r="B63" s="1" t="n">
        <v>45630.88071759259</v>
      </c>
      <c r="C63" s="1" t="n">
        <v>45880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14990-2025</t>
        </is>
      </c>
      <c r="B64" s="1" t="n">
        <v>45743.60700231481</v>
      </c>
      <c r="C64" s="1" t="n">
        <v>45880</v>
      </c>
      <c r="D64" t="inlineStr">
        <is>
          <t>VÄSTRA GÖTALANDS LÄN</t>
        </is>
      </c>
      <c r="E64" t="inlineStr">
        <is>
          <t>STENUNGSUND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9080-2025</t>
        </is>
      </c>
      <c r="B65" s="1" t="n">
        <v>45713.66313657408</v>
      </c>
      <c r="C65" s="1" t="n">
        <v>45880</v>
      </c>
      <c r="D65" t="inlineStr">
        <is>
          <t>VÄSTRA GÖTALANDS LÄN</t>
        </is>
      </c>
      <c r="E65" t="inlineStr">
        <is>
          <t>STENUNGSUND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12589-2025</t>
        </is>
      </c>
      <c r="B66" s="1" t="n">
        <v>45732.7803125</v>
      </c>
      <c r="C66" s="1" t="n">
        <v>45880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48895-2023</t>
        </is>
      </c>
      <c r="B67" s="1" t="n">
        <v>45209.49538194444</v>
      </c>
      <c r="C67" s="1" t="n">
        <v>45880</v>
      </c>
      <c r="D67" t="inlineStr">
        <is>
          <t>VÄSTRA GÖTALANDS LÄN</t>
        </is>
      </c>
      <c r="E67" t="inlineStr">
        <is>
          <t>STENUNGSUND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9282-2025</t>
        </is>
      </c>
      <c r="B68" s="1" t="n">
        <v>45714.64293981482</v>
      </c>
      <c r="C68" s="1" t="n">
        <v>45880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14906-2025</t>
        </is>
      </c>
      <c r="B69" s="1" t="n">
        <v>45743.49373842592</v>
      </c>
      <c r="C69" s="1" t="n">
        <v>45880</v>
      </c>
      <c r="D69" t="inlineStr">
        <is>
          <t>VÄSTRA GÖTALANDS LÄN</t>
        </is>
      </c>
      <c r="E69" t="inlineStr">
        <is>
          <t>STENUNGSUND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8961-2025</t>
        </is>
      </c>
      <c r="B70" s="1" t="n">
        <v>45713.48292824074</v>
      </c>
      <c r="C70" s="1" t="n">
        <v>45880</v>
      </c>
      <c r="D70" t="inlineStr">
        <is>
          <t>VÄSTRA GÖTALANDS LÄN</t>
        </is>
      </c>
      <c r="E70" t="inlineStr">
        <is>
          <t>STENUNGSUND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14981-2025</t>
        </is>
      </c>
      <c r="B71" s="1" t="n">
        <v>45743.59576388889</v>
      </c>
      <c r="C71" s="1" t="n">
        <v>45880</v>
      </c>
      <c r="D71" t="inlineStr">
        <is>
          <t>VÄSTRA GÖTALANDS LÄN</t>
        </is>
      </c>
      <c r="E71" t="inlineStr">
        <is>
          <t>STENUNGSUND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10843-2025</t>
        </is>
      </c>
      <c r="B72" s="1" t="n">
        <v>45722.5778125</v>
      </c>
      <c r="C72" s="1" t="n">
        <v>45880</v>
      </c>
      <c r="D72" t="inlineStr">
        <is>
          <t>VÄSTRA GÖTALANDS LÄN</t>
        </is>
      </c>
      <c r="E72" t="inlineStr">
        <is>
          <t>STENUNGSUND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10849-2025</t>
        </is>
      </c>
      <c r="B73" s="1" t="n">
        <v>45722.5817824074</v>
      </c>
      <c r="C73" s="1" t="n">
        <v>45880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45880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24211-2025</t>
        </is>
      </c>
      <c r="B75" s="1" t="n">
        <v>45797.34690972222</v>
      </c>
      <c r="C75" s="1" t="n">
        <v>45880</v>
      </c>
      <c r="D75" t="inlineStr">
        <is>
          <t>VÄSTRA GÖTALANDS LÄN</t>
        </is>
      </c>
      <c r="E75" t="inlineStr">
        <is>
          <t>STENUNGSUND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33042-2025</t>
        </is>
      </c>
      <c r="B76" s="1" t="n">
        <v>45840.40609953704</v>
      </c>
      <c r="C76" s="1" t="n">
        <v>45880</v>
      </c>
      <c r="D76" t="inlineStr">
        <is>
          <t>VÄSTRA GÖTALANDS LÄN</t>
        </is>
      </c>
      <c r="E76" t="inlineStr">
        <is>
          <t>STENUNGSUND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32997-2025</t>
        </is>
      </c>
      <c r="B77" s="1" t="n">
        <v>45840.33818287037</v>
      </c>
      <c r="C77" s="1" t="n">
        <v>45880</v>
      </c>
      <c r="D77" t="inlineStr">
        <is>
          <t>VÄSTRA GÖTALANDS LÄN</t>
        </is>
      </c>
      <c r="E77" t="inlineStr">
        <is>
          <t>STENUNGSUND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6913-2024</t>
        </is>
      </c>
      <c r="B78" s="1" t="n">
        <v>45343.28206018519</v>
      </c>
      <c r="C78" s="1" t="n">
        <v>45880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33950-2023</t>
        </is>
      </c>
      <c r="B79" s="1" t="n">
        <v>45134</v>
      </c>
      <c r="C79" s="1" t="n">
        <v>45880</v>
      </c>
      <c r="D79" t="inlineStr">
        <is>
          <t>VÄSTRA GÖTALANDS LÄN</t>
        </is>
      </c>
      <c r="E79" t="inlineStr">
        <is>
          <t>STENUNGSUND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45880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51661-2023</t>
        </is>
      </c>
      <c r="B81" s="1" t="n">
        <v>45215</v>
      </c>
      <c r="C81" s="1" t="n">
        <v>45880</v>
      </c>
      <c r="D81" t="inlineStr">
        <is>
          <t>VÄSTRA GÖTALANDS LÄN</t>
        </is>
      </c>
      <c r="E81" t="inlineStr">
        <is>
          <t>STENUNGSUND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60158-2024</t>
        </is>
      </c>
      <c r="B82" s="1" t="n">
        <v>45642.62672453704</v>
      </c>
      <c r="C82" s="1" t="n">
        <v>45880</v>
      </c>
      <c r="D82" t="inlineStr">
        <is>
          <t>VÄSTRA GÖTALANDS LÄN</t>
        </is>
      </c>
      <c r="E82" t="inlineStr">
        <is>
          <t>STENUNGSUND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60832-2024</t>
        </is>
      </c>
      <c r="B83" s="1" t="n">
        <v>45644.64081018518</v>
      </c>
      <c r="C83" s="1" t="n">
        <v>45880</v>
      </c>
      <c r="D83" t="inlineStr">
        <is>
          <t>VÄSTRA GÖTALANDS LÄN</t>
        </is>
      </c>
      <c r="E83" t="inlineStr">
        <is>
          <t>STENUNGSUND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19059-2023</t>
        </is>
      </c>
      <c r="B84" s="1" t="n">
        <v>45048</v>
      </c>
      <c r="C84" s="1" t="n">
        <v>45880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61027-2024</t>
        </is>
      </c>
      <c r="B85" s="1" t="n">
        <v>45645.45800925926</v>
      </c>
      <c r="C85" s="1" t="n">
        <v>45880</v>
      </c>
      <c r="D85" t="inlineStr">
        <is>
          <t>VÄSTRA GÖTALANDS LÄN</t>
        </is>
      </c>
      <c r="E85" t="inlineStr">
        <is>
          <t>STENUNGSUND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19296-2025</t>
        </is>
      </c>
      <c r="B86" s="1" t="n">
        <v>45769.5621875</v>
      </c>
      <c r="C86" s="1" t="n">
        <v>45880</v>
      </c>
      <c r="D86" t="inlineStr">
        <is>
          <t>VÄSTRA GÖTALANDS LÄN</t>
        </is>
      </c>
      <c r="E86" t="inlineStr">
        <is>
          <t>STENUNGSUND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45880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57767-2024</t>
        </is>
      </c>
      <c r="B88" s="1" t="n">
        <v>45630.87564814815</v>
      </c>
      <c r="C88" s="1" t="n">
        <v>45880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57768-2024</t>
        </is>
      </c>
      <c r="B89" s="1" t="n">
        <v>45630.87756944444</v>
      </c>
      <c r="C89" s="1" t="n">
        <v>45880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57766-2024</t>
        </is>
      </c>
      <c r="B90" s="1" t="n">
        <v>45630.87388888889</v>
      </c>
      <c r="C90" s="1" t="n">
        <v>45880</v>
      </c>
      <c r="D90" t="inlineStr">
        <is>
          <t>VÄSTRA GÖTALANDS LÄN</t>
        </is>
      </c>
      <c r="E90" t="inlineStr">
        <is>
          <t>STENUNGSUND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4233-2021</t>
        </is>
      </c>
      <c r="B91" s="1" t="n">
        <v>44223</v>
      </c>
      <c r="C91" s="1" t="n">
        <v>45880</v>
      </c>
      <c r="D91" t="inlineStr">
        <is>
          <t>VÄSTRA GÖTALANDS LÄN</t>
        </is>
      </c>
      <c r="E91" t="inlineStr">
        <is>
          <t>STENUNGSUND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23070-2022</t>
        </is>
      </c>
      <c r="B92" s="1" t="n">
        <v>44719.45615740741</v>
      </c>
      <c r="C92" s="1" t="n">
        <v>45880</v>
      </c>
      <c r="D92" t="inlineStr">
        <is>
          <t>VÄSTRA GÖTALANDS LÄN</t>
        </is>
      </c>
      <c r="E92" t="inlineStr">
        <is>
          <t>STENUNGSUND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48365-2024</t>
        </is>
      </c>
      <c r="B93" s="1" t="n">
        <v>45590.57652777778</v>
      </c>
      <c r="C93" s="1" t="n">
        <v>45880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11362-2025</t>
        </is>
      </c>
      <c r="B94" s="1" t="n">
        <v>45726.53643518518</v>
      </c>
      <c r="C94" s="1" t="n">
        <v>45880</v>
      </c>
      <c r="D94" t="inlineStr">
        <is>
          <t>VÄSTRA GÖTALANDS LÄN</t>
        </is>
      </c>
      <c r="E94" t="inlineStr">
        <is>
          <t>STENUNGSUND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9893-2025</t>
        </is>
      </c>
      <c r="B95" s="1" t="n">
        <v>45716.70841435185</v>
      </c>
      <c r="C95" s="1" t="n">
        <v>45880</v>
      </c>
      <c r="D95" t="inlineStr">
        <is>
          <t>VÄSTRA GÖTALANDS LÄN</t>
        </is>
      </c>
      <c r="E95" t="inlineStr">
        <is>
          <t>STENUNGSUND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2412-2024</t>
        </is>
      </c>
      <c r="B96" s="1" t="n">
        <v>45310</v>
      </c>
      <c r="C96" s="1" t="n">
        <v>45880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23762-2024</t>
        </is>
      </c>
      <c r="B97" s="1" t="n">
        <v>45455.36590277778</v>
      </c>
      <c r="C97" s="1" t="n">
        <v>45880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32960-2023</t>
        </is>
      </c>
      <c r="B98" s="1" t="n">
        <v>45125</v>
      </c>
      <c r="C98" s="1" t="n">
        <v>45880</v>
      </c>
      <c r="D98" t="inlineStr">
        <is>
          <t>VÄSTRA GÖTALANDS LÄN</t>
        </is>
      </c>
      <c r="E98" t="inlineStr">
        <is>
          <t>STENUNGSUND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36018-2025</t>
        </is>
      </c>
      <c r="B99" s="1" t="n">
        <v>45863.66916666667</v>
      </c>
      <c r="C99" s="1" t="n">
        <v>45880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4578-2023</t>
        </is>
      </c>
      <c r="B100" s="1" t="n">
        <v>44951</v>
      </c>
      <c r="C100" s="1" t="n">
        <v>45880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33010-2022</t>
        </is>
      </c>
      <c r="B101" s="1" t="n">
        <v>44785</v>
      </c>
      <c r="C101" s="1" t="n">
        <v>45880</v>
      </c>
      <c r="D101" t="inlineStr">
        <is>
          <t>VÄSTRA GÖTALANDS LÄN</t>
        </is>
      </c>
      <c r="E101" t="inlineStr">
        <is>
          <t>STENUNGSUND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31625-2025</t>
        </is>
      </c>
      <c r="B102" s="1" t="n">
        <v>45834.29967592593</v>
      </c>
      <c r="C102" s="1" t="n">
        <v>45880</v>
      </c>
      <c r="D102" t="inlineStr">
        <is>
          <t>VÄSTRA GÖTALANDS LÄN</t>
        </is>
      </c>
      <c r="E102" t="inlineStr">
        <is>
          <t>STENUNGSUND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24807-2023</t>
        </is>
      </c>
      <c r="B103" s="1" t="n">
        <v>45084</v>
      </c>
      <c r="C103" s="1" t="n">
        <v>45880</v>
      </c>
      <c r="D103" t="inlineStr">
        <is>
          <t>VÄSTRA GÖTALANDS LÄN</t>
        </is>
      </c>
      <c r="E103" t="inlineStr">
        <is>
          <t>STENUNGSUND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64711-2020</t>
        </is>
      </c>
      <c r="B104" s="1" t="n">
        <v>44167</v>
      </c>
      <c r="C104" s="1" t="n">
        <v>45880</v>
      </c>
      <c r="D104" t="inlineStr">
        <is>
          <t>VÄSTRA GÖTALANDS LÄN</t>
        </is>
      </c>
      <c r="E104" t="inlineStr">
        <is>
          <t>STENUNGSUND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34253-2023</t>
        </is>
      </c>
      <c r="B105" s="1" t="n">
        <v>45138.5799537037</v>
      </c>
      <c r="C105" s="1" t="n">
        <v>45880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18591-2021</t>
        </is>
      </c>
      <c r="B106" s="1" t="n">
        <v>44306</v>
      </c>
      <c r="C106" s="1" t="n">
        <v>45880</v>
      </c>
      <c r="D106" t="inlineStr">
        <is>
          <t>VÄSTRA GÖTALANDS LÄN</t>
        </is>
      </c>
      <c r="E106" t="inlineStr">
        <is>
          <t>STENUNGSUND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24705-2024</t>
        </is>
      </c>
      <c r="B107" s="1" t="n">
        <v>45460.62145833333</v>
      </c>
      <c r="C107" s="1" t="n">
        <v>45880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45880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13586-2024</t>
        </is>
      </c>
      <c r="B109" s="1" t="n">
        <v>45389.85628472222</v>
      </c>
      <c r="C109" s="1" t="n">
        <v>45880</v>
      </c>
      <c r="D109" t="inlineStr">
        <is>
          <t>VÄSTRA GÖTALANDS LÄN</t>
        </is>
      </c>
      <c r="E109" t="inlineStr">
        <is>
          <t>STENUNGSUND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45880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45000-2024</t>
        </is>
      </c>
      <c r="B111" s="1" t="n">
        <v>45575</v>
      </c>
      <c r="C111" s="1" t="n">
        <v>45880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3569-2023</t>
        </is>
      </c>
      <c r="B112" s="1" t="n">
        <v>44950.48391203704</v>
      </c>
      <c r="C112" s="1" t="n">
        <v>45880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8684-2024</t>
        </is>
      </c>
      <c r="B113" s="1" t="n">
        <v>45356.36320601852</v>
      </c>
      <c r="C113" s="1" t="n">
        <v>45880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8544-2023</t>
        </is>
      </c>
      <c r="B114" s="1" t="n">
        <v>44977</v>
      </c>
      <c r="C114" s="1" t="n">
        <v>45880</v>
      </c>
      <c r="D114" t="inlineStr">
        <is>
          <t>VÄSTRA GÖTALANDS LÄN</t>
        </is>
      </c>
      <c r="E114" t="inlineStr">
        <is>
          <t>STENUNGSUND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2025-08-11T08:25:20Z</dcterms:created>
  <dcterms:modified xmlns:dcterms="http://purl.org/dc/terms/" xmlns:xsi="http://www.w3.org/2001/XMLSchema-instance" xsi:type="dcterms:W3CDTF">2025-08-11T08:25:20Z</dcterms:modified>
</cp:coreProperties>
</file>