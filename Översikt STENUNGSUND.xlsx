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45643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45643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45643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45643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45643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45643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45643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45643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45643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45643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50295-2024</t>
        </is>
      </c>
      <c r="B12" s="1" t="n">
        <v>45600</v>
      </c>
      <c r="C12" s="1" t="n">
        <v>45643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24203-2020</t>
        </is>
      </c>
      <c r="B13" s="1" t="n">
        <v>43971</v>
      </c>
      <c r="C13" s="1" t="n">
        <v>45643</v>
      </c>
      <c r="D13" t="inlineStr">
        <is>
          <t>VÄSTRA GÖTALANDS LÄN</t>
        </is>
      </c>
      <c r="E13" t="inlineStr">
        <is>
          <t>STENUNGSUND</t>
        </is>
      </c>
      <c r="G13" t="n">
        <v>24.9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24203-2020 artfynd.xlsx", "A 24203-2020")</f>
        <v/>
      </c>
      <c r="T13">
        <f>HYPERLINK("https://klasma.github.io/Logging_1415/kartor/A 24203-2020 karta.png", "A 24203-2020")</f>
        <v/>
      </c>
      <c r="V13">
        <f>HYPERLINK("https://klasma.github.io/Logging_1415/klagomål/A 24203-2020 FSC-klagomål.docx", "A 24203-2020")</f>
        <v/>
      </c>
      <c r="W13">
        <f>HYPERLINK("https://klasma.github.io/Logging_1415/klagomålsmail/A 24203-2020 FSC-klagomål mail.docx", "A 24203-2020")</f>
        <v/>
      </c>
      <c r="X13">
        <f>HYPERLINK("https://klasma.github.io/Logging_1415/tillsyn/A 24203-2020 tillsynsbegäran.docx", "A 24203-2020")</f>
        <v/>
      </c>
      <c r="Y13">
        <f>HYPERLINK("https://klasma.github.io/Logging_1415/tillsynsmail/A 24203-2020 tillsynsbegäran mail.docx", "A 24203-2020")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45643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12075-2022</t>
        </is>
      </c>
      <c r="B15" s="1" t="n">
        <v>44636</v>
      </c>
      <c r="C15" s="1" t="n">
        <v>45643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12892-2023</t>
        </is>
      </c>
      <c r="B16" s="1" t="n">
        <v>45001</v>
      </c>
      <c r="C16" s="1" t="n">
        <v>45643</v>
      </c>
      <c r="D16" t="inlineStr">
        <is>
          <t>VÄSTRA GÖTALANDS LÄN</t>
        </is>
      </c>
      <c r="E16" t="inlineStr">
        <is>
          <t>STENUNGSUND</t>
        </is>
      </c>
      <c r="G16" t="n">
        <v>11.1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HYPERLINK("https://klasma.github.io/Logging_1415/artfynd/A 12892-2023 artfynd.xlsx", "A 12892-2023")</f>
        <v/>
      </c>
      <c r="T16">
        <f>HYPERLINK("https://klasma.github.io/Logging_1415/kartor/A 12892-2023 karta.png", "A 12892-2023")</f>
        <v/>
      </c>
      <c r="V16">
        <f>HYPERLINK("https://klasma.github.io/Logging_1415/klagomål/A 12892-2023 FSC-klagomål.docx", "A 12892-2023")</f>
        <v/>
      </c>
      <c r="W16">
        <f>HYPERLINK("https://klasma.github.io/Logging_1415/klagomålsmail/A 12892-2023 FSC-klagomål mail.docx", "A 12892-2023")</f>
        <v/>
      </c>
      <c r="X16">
        <f>HYPERLINK("https://klasma.github.io/Logging_1415/tillsyn/A 12892-2023 tillsynsbegäran.docx", "A 12892-2023")</f>
        <v/>
      </c>
      <c r="Y16">
        <f>HYPERLINK("https://klasma.github.io/Logging_1415/tillsynsmail/A 12892-2023 tillsynsbegäran mail.docx", "A 12892-2023")</f>
        <v/>
      </c>
    </row>
    <row r="17" ht="15" customHeight="1">
      <c r="A17" t="inlineStr">
        <is>
          <t>A 33572-2023</t>
        </is>
      </c>
      <c r="B17" s="1" t="n">
        <v>45131</v>
      </c>
      <c r="C17" s="1" t="n">
        <v>45643</v>
      </c>
      <c r="D17" t="inlineStr">
        <is>
          <t>VÄSTRA GÖTALANDS LÄN</t>
        </is>
      </c>
      <c r="E17" t="inlineStr">
        <is>
          <t>STENUNGSUND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HYPERLINK("https://klasma.github.io/Logging_1415/artfynd/A 33572-2023 artfynd.xlsx", "A 33572-2023")</f>
        <v/>
      </c>
      <c r="T17">
        <f>HYPERLINK("https://klasma.github.io/Logging_1415/kartor/A 33572-2023 karta.png", "A 33572-2023")</f>
        <v/>
      </c>
      <c r="V17">
        <f>HYPERLINK("https://klasma.github.io/Logging_1415/klagomål/A 33572-2023 FSC-klagomål.docx", "A 33572-2023")</f>
        <v/>
      </c>
      <c r="W17">
        <f>HYPERLINK("https://klasma.github.io/Logging_1415/klagomålsmail/A 33572-2023 FSC-klagomål mail.docx", "A 33572-2023")</f>
        <v/>
      </c>
      <c r="X17">
        <f>HYPERLINK("https://klasma.github.io/Logging_1415/tillsyn/A 33572-2023 tillsynsbegäran.docx", "A 33572-2023")</f>
        <v/>
      </c>
      <c r="Y17">
        <f>HYPERLINK("https://klasma.github.io/Logging_1415/tillsynsmail/A 33572-2023 tillsynsbegäran mail.docx", "A 33572-2023")</f>
        <v/>
      </c>
    </row>
    <row r="18" ht="15" customHeight="1">
      <c r="A18" t="inlineStr">
        <is>
          <t>A 60706-2023</t>
        </is>
      </c>
      <c r="B18" s="1" t="n">
        <v>45260</v>
      </c>
      <c r="C18" s="1" t="n">
        <v>45643</v>
      </c>
      <c r="D18" t="inlineStr">
        <is>
          <t>VÄSTRA GÖTALANDS LÄN</t>
        </is>
      </c>
      <c r="E18" t="inlineStr">
        <is>
          <t>STENUNGSUND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HYPERLINK("https://klasma.github.io/Logging_1415/artfynd/A 60706-2023 artfynd.xlsx", "A 60706-2023")</f>
        <v/>
      </c>
      <c r="T18">
        <f>HYPERLINK("https://klasma.github.io/Logging_1415/kartor/A 60706-2023 karta.png", "A 60706-2023")</f>
        <v/>
      </c>
      <c r="V18">
        <f>HYPERLINK("https://klasma.github.io/Logging_1415/klagomål/A 60706-2023 FSC-klagomål.docx", "A 60706-2023")</f>
        <v/>
      </c>
      <c r="W18">
        <f>HYPERLINK("https://klasma.github.io/Logging_1415/klagomålsmail/A 60706-2023 FSC-klagomål mail.docx", "A 60706-2023")</f>
        <v/>
      </c>
      <c r="X18">
        <f>HYPERLINK("https://klasma.github.io/Logging_1415/tillsyn/A 60706-2023 tillsynsbegäran.docx", "A 60706-2023")</f>
        <v/>
      </c>
      <c r="Y18">
        <f>HYPERLINK("https://klasma.github.io/Logging_1415/tillsynsmail/A 60706-2023 tillsynsbegäran mail.docx", "A 60706-2023")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45643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45643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45643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45643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45643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45643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45643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45643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45643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45643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45643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45643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45643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45643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45643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45643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45643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45643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45643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45643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45643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45643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45643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45643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45643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45643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45643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45643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45643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45643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45643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45643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45643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45643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45643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45643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45643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45643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45643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45643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45643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45643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45643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45643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45643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45643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45643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45643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45643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45643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45643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45643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45643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45643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45643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45643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45643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45643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45643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45643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45643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45643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45643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45643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45643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45643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45643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45643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45643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45643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45643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45643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45643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45643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45643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45643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45643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45643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45643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45643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45643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45643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45643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45643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45643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45643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45643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45643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45643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45643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45643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45643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45643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45643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45643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45643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45643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45643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45643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45643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45643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45643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45643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45643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45643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45643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45643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45643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45643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45643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45643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45643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45643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45643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45643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45643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45643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45643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45643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45643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45643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45643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45643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45643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45643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45643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45643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45643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45643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45643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57766-2024</t>
        </is>
      </c>
      <c r="B149" s="1" t="n">
        <v>45630</v>
      </c>
      <c r="C149" s="1" t="n">
        <v>45643</v>
      </c>
      <c r="D149" t="inlineStr">
        <is>
          <t>VÄSTRA GÖTALANDS LÄN</t>
        </is>
      </c>
      <c r="E149" t="inlineStr">
        <is>
          <t>STENUNGSUND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57768-2024</t>
        </is>
      </c>
      <c r="B150" s="1" t="n">
        <v>45630</v>
      </c>
      <c r="C150" s="1" t="n">
        <v>45643</v>
      </c>
      <c r="D150" t="inlineStr">
        <is>
          <t>VÄSTRA GÖTALANDS LÄN</t>
        </is>
      </c>
      <c r="E150" t="inlineStr">
        <is>
          <t>STENUNGSUND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57769-2024</t>
        </is>
      </c>
      <c r="B151" s="1" t="n">
        <v>45630</v>
      </c>
      <c r="C151" s="1" t="n">
        <v>45643</v>
      </c>
      <c r="D151" t="inlineStr">
        <is>
          <t>VÄSTRA GÖTALANDS LÄN</t>
        </is>
      </c>
      <c r="E151" t="inlineStr">
        <is>
          <t>STENUNGSUND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57767-2024</t>
        </is>
      </c>
      <c r="B152" s="1" t="n">
        <v>45630</v>
      </c>
      <c r="C152" s="1" t="n">
        <v>45643</v>
      </c>
      <c r="D152" t="inlineStr">
        <is>
          <t>VÄSTRA GÖTALANDS LÄN</t>
        </is>
      </c>
      <c r="E152" t="inlineStr">
        <is>
          <t>STENUNGSUND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59430-2024</t>
        </is>
      </c>
      <c r="B153" s="1" t="n">
        <v>45638</v>
      </c>
      <c r="C153" s="1" t="n">
        <v>45643</v>
      </c>
      <c r="D153" t="inlineStr">
        <is>
          <t>VÄSTRA GÖTALANDS LÄN</t>
        </is>
      </c>
      <c r="E153" t="inlineStr">
        <is>
          <t>STENUNGSUND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60158-2024</t>
        </is>
      </c>
      <c r="B154" s="1" t="n">
        <v>45642</v>
      </c>
      <c r="C154" s="1" t="n">
        <v>45643</v>
      </c>
      <c r="D154" t="inlineStr">
        <is>
          <t>VÄSTRA GÖTALANDS LÄN</t>
        </is>
      </c>
      <c r="E154" t="inlineStr">
        <is>
          <t>STENUNGSUND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60180-2024</t>
        </is>
      </c>
      <c r="B155" s="1" t="n">
        <v>45642</v>
      </c>
      <c r="C155" s="1" t="n">
        <v>45643</v>
      </c>
      <c r="D155" t="inlineStr">
        <is>
          <t>VÄSTRA GÖTALANDS LÄN</t>
        </is>
      </c>
      <c r="E155" t="inlineStr">
        <is>
          <t>STENUNGSUND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2024-12-17T15:15:39Z</dcterms:created>
  <dcterms:modified xmlns:dcterms="http://purl.org/dc/terms/" xmlns:xsi="http://www.w3.org/2001/XMLSchema-instance" xsi:type="dcterms:W3CDTF">2024-12-17T15:15:39Z</dcterms:modified>
</cp:coreProperties>
</file>