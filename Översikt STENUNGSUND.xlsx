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46241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46241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46241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46241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46241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46241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46241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46241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46241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46241</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46241</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46241</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46241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46241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46241</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46241</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46241</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17346-2026</t>
        </is>
      </c>
      <c r="B19" t="inlineStr">
        <is>
          <t>avverkningsanmälan</t>
        </is>
      </c>
      <c r="C19" t="inlineStr">
        <is>
          <t>Föryngringsavverkning</t>
        </is>
      </c>
      <c r="D19" s="1" t="n">
        <v>46119</v>
      </c>
      <c r="E19" s="1" t="n">
        <v>46241</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50508-2025</t>
        </is>
      </c>
      <c r="B20" t="inlineStr">
        <is>
          <t>avverkningsanmälan</t>
        </is>
      </c>
      <c r="C20" t="inlineStr">
        <is>
          <t>Föryngringsavverkning</t>
        </is>
      </c>
      <c r="D20" s="1" t="n">
        <v>45945</v>
      </c>
      <c r="E20" s="1" t="n">
        <v>46241</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t="n">
        <v>0</v>
      </c>
      <c r="V20" s="2" t="inlineStr">
        <is>
          <t>Skogsduva</t>
        </is>
      </c>
      <c r="W20">
        <f>HYPERLINK("https://klasma.github.io/Logging_1415/artfynd/A 50508-2025 artfynd.xlsx", "A 50508-2025")</f>
        <v/>
      </c>
      <c r="X20">
        <f>HYPERLINK("https://klasma.github.io/Logging_1415/kartor/A 50508-2025 karta.png", "A 50508-2025")</f>
        <v/>
      </c>
      <c r="Y20">
        <f>HYPERLINK("https://klasma.github.io/Logging_1415/kartor_geotiff/A 50508-2025 georefererad karta.tif", "A 50508-2025")</f>
        <v/>
      </c>
      <c r="AA20">
        <f>HYPERLINK("https://klasma.github.io/Logging_1415/klagomål/A 50508-2025 FSC-klagomål.docx", "A 50508-2025")</f>
        <v/>
      </c>
      <c r="AB20">
        <f>HYPERLINK("https://klasma.github.io/Logging_1415/klagomålsmail/A 50508-2025 FSC-klagomål mail.docx", "A 50508-2025")</f>
        <v/>
      </c>
      <c r="AC20">
        <f>HYPERLINK("https://klasma.github.io/Logging_1415/tillsyn/A 50508-2025 tillsynsbegäran.docx", "A 50508-2025")</f>
        <v/>
      </c>
      <c r="AD20">
        <f>HYPERLINK("https://klasma.github.io/Logging_1415/tillsynsmail/A 50508-2025 tillsynsbegäran mail.docx", "A 50508-2025")</f>
        <v/>
      </c>
    </row>
    <row r="21" ht="15" customHeight="1">
      <c r="A21" t="inlineStr">
        <is>
          <t>A 45000-2024</t>
        </is>
      </c>
      <c r="B21" t="inlineStr">
        <is>
          <t>avverkningsanmälan</t>
        </is>
      </c>
      <c r="C21" t="inlineStr">
        <is>
          <t>Föryngringsavverkning</t>
        </is>
      </c>
      <c r="D21" s="1" t="n">
        <v>45575</v>
      </c>
      <c r="E21" s="1" t="n">
        <v>46241</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54611-2025</t>
        </is>
      </c>
      <c r="B22" t="inlineStr">
        <is>
          <t>avverkningsanmälan</t>
        </is>
      </c>
      <c r="C22" t="inlineStr">
        <is>
          <t>Föryngringsavverkning</t>
        </is>
      </c>
      <c r="D22" s="1" t="n">
        <v>45966</v>
      </c>
      <c r="E22" s="1" t="n">
        <v>46241</v>
      </c>
      <c r="F22" t="inlineStr">
        <is>
          <t>VÄSTRA GÖTALANDS LÄN</t>
        </is>
      </c>
      <c r="G22" t="inlineStr">
        <is>
          <t>STENUNGSUND</t>
        </is>
      </c>
      <c r="I22" t="n">
        <v>10.8</v>
      </c>
      <c r="J22" t="n">
        <v>0</v>
      </c>
      <c r="K22" t="n">
        <v>1</v>
      </c>
      <c r="L22" t="n">
        <v>0</v>
      </c>
      <c r="M22" t="n">
        <v>0</v>
      </c>
      <c r="N22" t="n">
        <v>0</v>
      </c>
      <c r="O22" t="n">
        <v>0</v>
      </c>
      <c r="P22" t="n">
        <v>0</v>
      </c>
      <c r="Q22" t="n">
        <v>0</v>
      </c>
      <c r="R22" t="n">
        <v>0</v>
      </c>
      <c r="S22" t="n">
        <v>1</v>
      </c>
      <c r="T22" t="n">
        <v>1</v>
      </c>
      <c r="U22" t="n">
        <v>1</v>
      </c>
      <c r="V22" s="2" t="inlineStr">
        <is>
          <t>Blåmossa</t>
        </is>
      </c>
      <c r="W22">
        <f>HYPERLINK("https://klasma.github.io/Logging_1415/artfynd/A 54611-2025 artfynd.xlsx", "A 54611-2025")</f>
        <v/>
      </c>
      <c r="X22">
        <f>HYPERLINK("https://klasma.github.io/Logging_1415/kartor/A 54611-2025 karta.png", "A 54611-2025")</f>
        <v/>
      </c>
      <c r="Y22">
        <f>HYPERLINK("https://klasma.github.io/Logging_1415/kartor_geotiff/A 54611-2025 georefererad karta.tif", "A 54611-2025")</f>
        <v/>
      </c>
      <c r="AA22">
        <f>HYPERLINK("https://klasma.github.io/Logging_1415/klagomål/A 54611-2025 FSC-klagomål.docx", "A 54611-2025")</f>
        <v/>
      </c>
      <c r="AB22">
        <f>HYPERLINK("https://klasma.github.io/Logging_1415/klagomålsmail/A 54611-2025 FSC-klagomål mail.docx", "A 54611-2025")</f>
        <v/>
      </c>
      <c r="AC22">
        <f>HYPERLINK("https://klasma.github.io/Logging_1415/tillsyn/A 54611-2025 tillsynsbegäran.docx", "A 54611-2025")</f>
        <v/>
      </c>
      <c r="AD22">
        <f>HYPERLINK("https://klasma.github.io/Logging_1415/tillsynsmail/A 54611-2025 tillsynsbegäran mail.docx", "A 54611-2025")</f>
        <v/>
      </c>
    </row>
    <row r="23" ht="15" customHeight="1">
      <c r="A23" t="inlineStr">
        <is>
          <t>A 4769-2026</t>
        </is>
      </c>
      <c r="B23" t="inlineStr">
        <is>
          <t>avverkningsanmälan</t>
        </is>
      </c>
      <c r="C23" t="inlineStr">
        <is>
          <t>Föryngringsavverkning</t>
        </is>
      </c>
      <c r="D23" s="1" t="n">
        <v>46048</v>
      </c>
      <c r="E23" s="1" t="n">
        <v>46241</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25125-2026</t>
        </is>
      </c>
      <c r="B24" t="inlineStr">
        <is>
          <t>avverkningsanmälan</t>
        </is>
      </c>
      <c r="C24" t="inlineStr">
        <is>
          <t>Föryngringsavverkning</t>
        </is>
      </c>
      <c r="D24" s="1" t="n">
        <v>46175</v>
      </c>
      <c r="E24" s="1" t="n">
        <v>46241</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46241</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46241</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46241</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46241</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46241</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46241</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46241</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46241</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46241</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46241</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46241</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10472-2024</t>
        </is>
      </c>
      <c r="B36" t="inlineStr">
        <is>
          <t>avverkningsanmälan</t>
        </is>
      </c>
      <c r="C36" t="inlineStr">
        <is>
          <t>Föryngringsavverkning</t>
        </is>
      </c>
      <c r="D36" s="1" t="n">
        <v>45366</v>
      </c>
      <c r="E36" s="1" t="n">
        <v>46241</v>
      </c>
      <c r="F36" t="inlineStr">
        <is>
          <t>VÄSTRA GÖTALANDS LÄN</t>
        </is>
      </c>
      <c r="G36" t="inlineStr">
        <is>
          <t>STENUNGSUND</t>
        </is>
      </c>
      <c r="I36" t="n">
        <v>6.3</v>
      </c>
      <c r="J36" t="n">
        <v>0</v>
      </c>
      <c r="K36" t="n">
        <v>0</v>
      </c>
      <c r="L36" t="n">
        <v>0</v>
      </c>
      <c r="M36" t="n">
        <v>0</v>
      </c>
      <c r="N36" t="n">
        <v>0</v>
      </c>
      <c r="O36" t="n">
        <v>0</v>
      </c>
      <c r="P36" t="n">
        <v>0</v>
      </c>
      <c r="Q36" t="n">
        <v>0</v>
      </c>
      <c r="R36" t="n">
        <v>0</v>
      </c>
      <c r="S36" t="n">
        <v>0</v>
      </c>
      <c r="T36" t="n">
        <v>0</v>
      </c>
      <c r="U36" t="n">
        <v>0</v>
      </c>
      <c r="V36" s="2" t="inlineStr"/>
    </row>
    <row r="37" ht="15" customHeight="1">
      <c r="A37" t="inlineStr">
        <is>
          <t>A 30175-2022</t>
        </is>
      </c>
      <c r="B37" t="inlineStr">
        <is>
          <t>avverkningsanmälan</t>
        </is>
      </c>
      <c r="C37" t="inlineStr">
        <is>
          <t>Föryngringsavverkning</t>
        </is>
      </c>
      <c r="D37" s="1" t="n">
        <v>44757</v>
      </c>
      <c r="E37" s="1" t="n">
        <v>46241</v>
      </c>
      <c r="F37" t="inlineStr">
        <is>
          <t>VÄSTRA GÖTALANDS LÄN</t>
        </is>
      </c>
      <c r="G37" t="inlineStr">
        <is>
          <t>STENUNGSUND</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46241</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46241</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4734-2023</t>
        </is>
      </c>
      <c r="B40" t="inlineStr">
        <is>
          <t>avverkningsanmälan</t>
        </is>
      </c>
      <c r="C40" t="inlineStr">
        <is>
          <t>Föryngringsavverkning</t>
        </is>
      </c>
      <c r="D40" s="1" t="n">
        <v>44957</v>
      </c>
      <c r="E40" s="1" t="n">
        <v>46241</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8948-2022</t>
        </is>
      </c>
      <c r="B41" t="inlineStr">
        <is>
          <t>avverkningsanmälan</t>
        </is>
      </c>
      <c r="C41" t="inlineStr">
        <is>
          <t>Avverkning för annat ändamål</t>
        </is>
      </c>
      <c r="D41" s="1" t="n">
        <v>44614</v>
      </c>
      <c r="E41" s="1" t="n">
        <v>46241</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3570-2023</t>
        </is>
      </c>
      <c r="B42" t="inlineStr">
        <is>
          <t>avverkningsanmälan</t>
        </is>
      </c>
      <c r="C42" t="inlineStr">
        <is>
          <t>Föryngringsavverkning</t>
        </is>
      </c>
      <c r="D42" s="1" t="n">
        <v>44950</v>
      </c>
      <c r="E42" s="1" t="n">
        <v>46241</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9282-2025</t>
        </is>
      </c>
      <c r="B43" t="inlineStr">
        <is>
          <t>avverkningsanmälan</t>
        </is>
      </c>
      <c r="C43" t="inlineStr">
        <is>
          <t>Föryngringsavverkning</t>
        </is>
      </c>
      <c r="D43" s="1" t="n">
        <v>45714</v>
      </c>
      <c r="E43" s="1" t="n">
        <v>46241</v>
      </c>
      <c r="F43" t="inlineStr">
        <is>
          <t>VÄSTRA GÖTALANDS LÄN</t>
        </is>
      </c>
      <c r="G43" t="inlineStr">
        <is>
          <t>STENUNGSUND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46241</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14981-2025</t>
        </is>
      </c>
      <c r="B45" t="inlineStr">
        <is>
          <t>avverkningsanmälan</t>
        </is>
      </c>
      <c r="C45" t="inlineStr">
        <is>
          <t>Föryngringsavverkning</t>
        </is>
      </c>
      <c r="D45" s="1" t="n">
        <v>45743</v>
      </c>
      <c r="E45" s="1" t="n">
        <v>46241</v>
      </c>
      <c r="F45" t="inlineStr">
        <is>
          <t>VÄSTRA GÖTALANDS LÄN</t>
        </is>
      </c>
      <c r="G45" t="inlineStr">
        <is>
          <t>STENUNGSUND</t>
        </is>
      </c>
      <c r="I45" t="n">
        <v>4.8</v>
      </c>
      <c r="J45" t="n">
        <v>0</v>
      </c>
      <c r="K45" t="n">
        <v>0</v>
      </c>
      <c r="L45" t="n">
        <v>0</v>
      </c>
      <c r="M45" t="n">
        <v>0</v>
      </c>
      <c r="N45" t="n">
        <v>0</v>
      </c>
      <c r="O45" t="n">
        <v>0</v>
      </c>
      <c r="P45" t="n">
        <v>0</v>
      </c>
      <c r="Q45" t="n">
        <v>0</v>
      </c>
      <c r="R45" t="n">
        <v>0</v>
      </c>
      <c r="S45" t="n">
        <v>0</v>
      </c>
      <c r="T45" t="n">
        <v>0</v>
      </c>
      <c r="U45" t="n">
        <v>0</v>
      </c>
      <c r="V45" s="2" t="inlineStr"/>
    </row>
    <row r="46" ht="15" customHeight="1">
      <c r="A46" t="inlineStr">
        <is>
          <t>A 20974-2025</t>
        </is>
      </c>
      <c r="B46" t="inlineStr">
        <is>
          <t>avverkningsanmälan</t>
        </is>
      </c>
      <c r="C46" t="inlineStr">
        <is>
          <t>Föryngringsavverkning</t>
        </is>
      </c>
      <c r="D46" s="1" t="n">
        <v>45777</v>
      </c>
      <c r="E46" s="1" t="n">
        <v>46241</v>
      </c>
      <c r="F46" t="inlineStr">
        <is>
          <t>VÄSTRA GÖTALANDS LÄN</t>
        </is>
      </c>
      <c r="G46" t="inlineStr">
        <is>
          <t>STENUNGSUND</t>
        </is>
      </c>
      <c r="I46" t="n">
        <v>10.3</v>
      </c>
      <c r="J46" t="n">
        <v>0</v>
      </c>
      <c r="K46" t="n">
        <v>0</v>
      </c>
      <c r="L46" t="n">
        <v>0</v>
      </c>
      <c r="M46" t="n">
        <v>0</v>
      </c>
      <c r="N46" t="n">
        <v>0</v>
      </c>
      <c r="O46" t="n">
        <v>0</v>
      </c>
      <c r="P46" t="n">
        <v>0</v>
      </c>
      <c r="Q46" t="n">
        <v>0</v>
      </c>
      <c r="R46" t="n">
        <v>0</v>
      </c>
      <c r="S46" t="n">
        <v>0</v>
      </c>
      <c r="T46" t="n">
        <v>0</v>
      </c>
      <c r="U46" t="n">
        <v>0</v>
      </c>
      <c r="V46" s="2" t="inlineStr"/>
    </row>
    <row r="47" ht="15" customHeight="1">
      <c r="A47" t="inlineStr">
        <is>
          <t>A 38994-2025</t>
        </is>
      </c>
      <c r="B47" t="inlineStr">
        <is>
          <t>avverkningsanmälan</t>
        </is>
      </c>
      <c r="C47" t="inlineStr">
        <is>
          <t>Föryngringsavverkning</t>
        </is>
      </c>
      <c r="D47" s="1" t="n">
        <v>45888</v>
      </c>
      <c r="E47" s="1" t="n">
        <v>46241</v>
      </c>
      <c r="F47" t="inlineStr">
        <is>
          <t>VÄSTRA GÖTALANDS LÄN</t>
        </is>
      </c>
      <c r="G47" t="inlineStr">
        <is>
          <t>STENUNGSUND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6913-2024</t>
        </is>
      </c>
      <c r="B48" t="inlineStr">
        <is>
          <t>avverkningsanmälan</t>
        </is>
      </c>
      <c r="C48" t="inlineStr">
        <is>
          <t>Föryngringsavverkning</t>
        </is>
      </c>
      <c r="D48" s="1" t="n">
        <v>45343</v>
      </c>
      <c r="E48" s="1" t="n">
        <v>46241</v>
      </c>
      <c r="F48" t="inlineStr">
        <is>
          <t>VÄSTRA GÖTALANDS LÄN</t>
        </is>
      </c>
      <c r="G48" t="inlineStr">
        <is>
          <t>STENUNGSUND</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17362-2026</t>
        </is>
      </c>
      <c r="B49" t="inlineStr">
        <is>
          <t>avverkningsanmälan</t>
        </is>
      </c>
      <c r="C49" t="inlineStr">
        <is>
          <t>Föryngringsavverkning</t>
        </is>
      </c>
      <c r="D49" s="1" t="n">
        <v>46119</v>
      </c>
      <c r="E49" s="1" t="n">
        <v>46241</v>
      </c>
      <c r="F49" t="inlineStr">
        <is>
          <t>VÄSTRA GÖTALANDS LÄN</t>
        </is>
      </c>
      <c r="G49" t="inlineStr">
        <is>
          <t>STENUNGSUND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18016-2026</t>
        </is>
      </c>
      <c r="B50" t="inlineStr">
        <is>
          <t>avverkningsanmälan</t>
        </is>
      </c>
      <c r="C50" t="inlineStr">
        <is>
          <t>Föryngringsavverkning</t>
        </is>
      </c>
      <c r="D50" s="1" t="n">
        <v>46125</v>
      </c>
      <c r="E50" s="1" t="n">
        <v>46241</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60158-2024</t>
        </is>
      </c>
      <c r="B51" t="inlineStr">
        <is>
          <t>avverkningsanmälan</t>
        </is>
      </c>
      <c r="C51" t="inlineStr">
        <is>
          <t>Föryngringsavverkning</t>
        </is>
      </c>
      <c r="D51" s="1" t="n">
        <v>45642</v>
      </c>
      <c r="E51" s="1" t="n">
        <v>46241</v>
      </c>
      <c r="F51" t="inlineStr">
        <is>
          <t>VÄSTRA GÖTALANDS LÄN</t>
        </is>
      </c>
      <c r="G51" t="inlineStr">
        <is>
          <t>STENUNGSUND</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42791-2025</t>
        </is>
      </c>
      <c r="B52" t="inlineStr">
        <is>
          <t>avverkningsanmälan</t>
        </is>
      </c>
      <c r="C52" t="inlineStr">
        <is>
          <t>Föryngringsavverkning</t>
        </is>
      </c>
      <c r="D52" s="1" t="n">
        <v>45908</v>
      </c>
      <c r="E52" s="1" t="n">
        <v>46241</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19059-2023</t>
        </is>
      </c>
      <c r="B53" t="inlineStr">
        <is>
          <t>avverkningsanmälan</t>
        </is>
      </c>
      <c r="C53" t="inlineStr">
        <is>
          <t>Föryngringsavverkning</t>
        </is>
      </c>
      <c r="D53" s="1" t="n">
        <v>45048</v>
      </c>
      <c r="E53" s="1" t="n">
        <v>46241</v>
      </c>
      <c r="F53" t="inlineStr">
        <is>
          <t>VÄSTRA GÖTALANDS LÄN</t>
        </is>
      </c>
      <c r="G53" t="inlineStr">
        <is>
          <t>STENUNGSUND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23762-2024</t>
        </is>
      </c>
      <c r="B54" t="inlineStr">
        <is>
          <t>avverkningsanmälan</t>
        </is>
      </c>
      <c r="C54" t="inlineStr">
        <is>
          <t>Föryngringsavverkning</t>
        </is>
      </c>
      <c r="D54" s="1" t="n">
        <v>45455</v>
      </c>
      <c r="E54" s="1" t="n">
        <v>46241</v>
      </c>
      <c r="F54" t="inlineStr">
        <is>
          <t>VÄSTRA GÖTALANDS LÄN</t>
        </is>
      </c>
      <c r="G54" t="inlineStr">
        <is>
          <t>STENUNGSUND</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22728-2025</t>
        </is>
      </c>
      <c r="B55" t="inlineStr">
        <is>
          <t>avverkningsanmälan</t>
        </is>
      </c>
      <c r="C55" t="inlineStr">
        <is>
          <t>Föryngringsavverkning</t>
        </is>
      </c>
      <c r="D55" s="1" t="n">
        <v>45789</v>
      </c>
      <c r="E55" s="1" t="n">
        <v>46241</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57766-2024</t>
        </is>
      </c>
      <c r="B56" t="inlineStr">
        <is>
          <t>avverkningsanmälan</t>
        </is>
      </c>
      <c r="C56" t="inlineStr">
        <is>
          <t>Föryngringsavverkning</t>
        </is>
      </c>
      <c r="D56" s="1" t="n">
        <v>45630</v>
      </c>
      <c r="E56" s="1" t="n">
        <v>46241</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57767-2024</t>
        </is>
      </c>
      <c r="B57" t="inlineStr">
        <is>
          <t>avverkningsanmälan</t>
        </is>
      </c>
      <c r="C57" t="inlineStr">
        <is>
          <t>Föryngringsavverkning</t>
        </is>
      </c>
      <c r="D57" s="1" t="n">
        <v>45630</v>
      </c>
      <c r="E57" s="1" t="n">
        <v>46241</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57769-2024</t>
        </is>
      </c>
      <c r="B58" t="inlineStr">
        <is>
          <t>avverkningsanmälan</t>
        </is>
      </c>
      <c r="C58" t="inlineStr">
        <is>
          <t>Föryngringsavverkning</t>
        </is>
      </c>
      <c r="D58" s="1" t="n">
        <v>45630</v>
      </c>
      <c r="E58" s="1" t="n">
        <v>46241</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57768-2024</t>
        </is>
      </c>
      <c r="B59" t="inlineStr">
        <is>
          <t>avverkningsanmälan</t>
        </is>
      </c>
      <c r="C59" t="inlineStr">
        <is>
          <t>Föryngringsavverkning</t>
        </is>
      </c>
      <c r="D59" s="1" t="n">
        <v>45630</v>
      </c>
      <c r="E59" s="1" t="n">
        <v>46241</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33010-2022</t>
        </is>
      </c>
      <c r="B60" t="inlineStr">
        <is>
          <t>avverkningsanmälan</t>
        </is>
      </c>
      <c r="C60" t="inlineStr">
        <is>
          <t>Föryngringsavverkning</t>
        </is>
      </c>
      <c r="D60" s="1" t="n">
        <v>44785</v>
      </c>
      <c r="E60" s="1" t="n">
        <v>46241</v>
      </c>
      <c r="F60" t="inlineStr">
        <is>
          <t>VÄSTRA GÖTALANDS LÄN</t>
        </is>
      </c>
      <c r="G60" t="inlineStr">
        <is>
          <t>STENUNGSUND</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46241</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49621-2025</t>
        </is>
      </c>
      <c r="B62" t="inlineStr">
        <is>
          <t>avverkningsanmälan</t>
        </is>
      </c>
      <c r="C62" t="inlineStr">
        <is>
          <t>Föryngringsavverkning</t>
        </is>
      </c>
      <c r="D62" s="1" t="n">
        <v>45939</v>
      </c>
      <c r="E62" s="1" t="n">
        <v>46241</v>
      </c>
      <c r="F62" t="inlineStr">
        <is>
          <t>VÄSTRA GÖTALANDS LÄN</t>
        </is>
      </c>
      <c r="G62" t="inlineStr">
        <is>
          <t>STENUNGSUND</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46241</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52952-2021</t>
        </is>
      </c>
      <c r="B64" t="inlineStr">
        <is>
          <t>avverkningsanmälan</t>
        </is>
      </c>
      <c r="C64" t="inlineStr">
        <is>
          <t>Föryngringsavverkning</t>
        </is>
      </c>
      <c r="D64" s="1" t="n">
        <v>44467</v>
      </c>
      <c r="E64" s="1" t="n">
        <v>46241</v>
      </c>
      <c r="F64" t="inlineStr">
        <is>
          <t>VÄSTRA GÖTALANDS LÄN</t>
        </is>
      </c>
      <c r="G64" t="inlineStr">
        <is>
          <t>STENUNGSUND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50491-2025</t>
        </is>
      </c>
      <c r="B65" t="inlineStr">
        <is>
          <t>avverkningsanmälan</t>
        </is>
      </c>
      <c r="C65" t="inlineStr">
        <is>
          <t>Föryngringsavverkning</t>
        </is>
      </c>
      <c r="D65" s="1" t="n">
        <v>45945</v>
      </c>
      <c r="E65" s="1" t="n">
        <v>46241</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50543-2025</t>
        </is>
      </c>
      <c r="B66" t="inlineStr">
        <is>
          <t>avverkningsanmälan</t>
        </is>
      </c>
      <c r="C66" t="inlineStr">
        <is>
          <t>Föryngringsavverkning</t>
        </is>
      </c>
      <c r="D66" s="1" t="n">
        <v>45945</v>
      </c>
      <c r="E66" s="1" t="n">
        <v>46241</v>
      </c>
      <c r="F66" t="inlineStr">
        <is>
          <t>VÄSTRA GÖTALANDS LÄN</t>
        </is>
      </c>
      <c r="G66" t="inlineStr">
        <is>
          <t>STENUNGSUND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46241</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51450-2025</t>
        </is>
      </c>
      <c r="B68" t="inlineStr">
        <is>
          <t>avverkningsanmälan</t>
        </is>
      </c>
      <c r="C68" t="inlineStr">
        <is>
          <t>Föryngringsavverkning</t>
        </is>
      </c>
      <c r="D68" s="1" t="n">
        <v>45950</v>
      </c>
      <c r="E68" s="1" t="n">
        <v>46241</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19302-2025</t>
        </is>
      </c>
      <c r="B69" t="inlineStr">
        <is>
          <t>avverkningsanmälan</t>
        </is>
      </c>
      <c r="C69" t="inlineStr">
        <is>
          <t>Föryngringsavverkning</t>
        </is>
      </c>
      <c r="D69" s="1" t="n">
        <v>45769</v>
      </c>
      <c r="E69" s="1" t="n">
        <v>46241</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46241</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46241</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15726-2025</t>
        </is>
      </c>
      <c r="B72" t="inlineStr">
        <is>
          <t>avverkningsanmälan</t>
        </is>
      </c>
      <c r="C72" t="inlineStr">
        <is>
          <t>Föryngringsavverkning</t>
        </is>
      </c>
      <c r="D72" s="1" t="n">
        <v>45748</v>
      </c>
      <c r="E72" s="1" t="n">
        <v>46241</v>
      </c>
      <c r="F72" t="inlineStr">
        <is>
          <t>VÄSTRA GÖTALANDS LÄN</t>
        </is>
      </c>
      <c r="G72" t="inlineStr">
        <is>
          <t>STENUNGSUND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46241</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64992-2023</t>
        </is>
      </c>
      <c r="B74" t="inlineStr">
        <is>
          <t>avverkningsanmälan</t>
        </is>
      </c>
      <c r="C74" t="inlineStr">
        <is>
          <t>Föryngringsavverkning</t>
        </is>
      </c>
      <c r="D74" s="1" t="n">
        <v>45286</v>
      </c>
      <c r="E74" s="1" t="n">
        <v>46241</v>
      </c>
      <c r="F74" t="inlineStr">
        <is>
          <t>VÄSTRA GÖTALANDS LÄN</t>
        </is>
      </c>
      <c r="G74" t="inlineStr">
        <is>
          <t>STENUNGSUND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34555-2024</t>
        </is>
      </c>
      <c r="B75" t="inlineStr">
        <is>
          <t>avverkningsanmälan</t>
        </is>
      </c>
      <c r="C75" t="inlineStr">
        <is>
          <t>Föryngringsavverkning</t>
        </is>
      </c>
      <c r="D75" s="1" t="n">
        <v>45525</v>
      </c>
      <c r="E75" s="1" t="n">
        <v>46241</v>
      </c>
      <c r="F75" t="inlineStr">
        <is>
          <t>VÄSTRA GÖTALANDS LÄN</t>
        </is>
      </c>
      <c r="G75" t="inlineStr">
        <is>
          <t>STENUNGSUND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60687-2025</t>
        </is>
      </c>
      <c r="B76" t="inlineStr">
        <is>
          <t>avverkningsanmälan</t>
        </is>
      </c>
      <c r="C76" t="inlineStr">
        <is>
          <t>Föryngringsavverkning</t>
        </is>
      </c>
      <c r="D76" s="1" t="n">
        <v>45996</v>
      </c>
      <c r="E76" s="1" t="n">
        <v>46241</v>
      </c>
      <c r="F76" t="inlineStr">
        <is>
          <t>VÄSTRA GÖTALANDS LÄN</t>
        </is>
      </c>
      <c r="G76" t="inlineStr">
        <is>
          <t>STENUNGSUND</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46241</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46241</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15535-2024</t>
        </is>
      </c>
      <c r="B79" t="inlineStr">
        <is>
          <t>avverkningsanmälan</t>
        </is>
      </c>
      <c r="C79" t="inlineStr">
        <is>
          <t>Föryngringsavverkning</t>
        </is>
      </c>
      <c r="D79" s="1" t="n">
        <v>45401</v>
      </c>
      <c r="E79" s="1" t="n">
        <v>46241</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3243-2022</t>
        </is>
      </c>
      <c r="B80" t="inlineStr">
        <is>
          <t>avverkningsanmälan</t>
        </is>
      </c>
      <c r="C80" t="inlineStr">
        <is>
          <t>Föryngringsavverkning</t>
        </is>
      </c>
      <c r="D80" s="1" t="n">
        <v>44582</v>
      </c>
      <c r="E80" s="1" t="n">
        <v>46241</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46241</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2472-2026</t>
        </is>
      </c>
      <c r="B82" t="inlineStr">
        <is>
          <t>avverkningsanmälan</t>
        </is>
      </c>
      <c r="C82" t="inlineStr">
        <is>
          <t>Föryngringsavverkning</t>
        </is>
      </c>
      <c r="D82" s="1" t="n">
        <v>46037</v>
      </c>
      <c r="E82" s="1" t="n">
        <v>46241</v>
      </c>
      <c r="F82" t="inlineStr">
        <is>
          <t>VÄSTRA GÖTALANDS LÄN</t>
        </is>
      </c>
      <c r="G82" t="inlineStr">
        <is>
          <t>STENUNGSUND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2481-2026</t>
        </is>
      </c>
      <c r="B83" t="inlineStr">
        <is>
          <t>avverkningsanmälan</t>
        </is>
      </c>
      <c r="C83" t="inlineStr">
        <is>
          <t>Föryngringsavverkning</t>
        </is>
      </c>
      <c r="D83" s="1" t="n">
        <v>46037</v>
      </c>
      <c r="E83" s="1" t="n">
        <v>46241</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30170-2026</t>
        </is>
      </c>
      <c r="B84" t="inlineStr">
        <is>
          <t>avverkningsanmälan</t>
        </is>
      </c>
      <c r="C84" t="inlineStr">
        <is>
          <t>Föryngringsavverkning</t>
        </is>
      </c>
      <c r="D84" s="1" t="n">
        <v>46206</v>
      </c>
      <c r="E84" s="1" t="n">
        <v>46241</v>
      </c>
      <c r="F84" t="inlineStr">
        <is>
          <t>VÄSTRA GÖTALANDS LÄN</t>
        </is>
      </c>
      <c r="G84" t="inlineStr">
        <is>
          <t>STENUNGSUND</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7562-2026</t>
        </is>
      </c>
      <c r="B85" t="inlineStr">
        <is>
          <t>avverkningsanmälan</t>
        </is>
      </c>
      <c r="C85" t="inlineStr">
        <is>
          <t>Föryngringsavverkning</t>
        </is>
      </c>
      <c r="D85" s="1" t="n">
        <v>46060</v>
      </c>
      <c r="E85" s="1" t="n">
        <v>46241</v>
      </c>
      <c r="F85" t="inlineStr">
        <is>
          <t>VÄSTRA GÖTALANDS LÄN</t>
        </is>
      </c>
      <c r="G85" t="inlineStr">
        <is>
          <t>STENUNGSUND</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11362-2025</t>
        </is>
      </c>
      <c r="B86" t="inlineStr">
        <is>
          <t>avverkningsanmälan</t>
        </is>
      </c>
      <c r="C86" t="inlineStr">
        <is>
          <t>Föryngringsavverkning</t>
        </is>
      </c>
      <c r="D86" s="1" t="n">
        <v>45726</v>
      </c>
      <c r="E86" s="1" t="n">
        <v>46241</v>
      </c>
      <c r="F86" t="inlineStr">
        <is>
          <t>VÄSTRA GÖTALANDS LÄN</t>
        </is>
      </c>
      <c r="G86" t="inlineStr">
        <is>
          <t>STENUNGSUND</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33950-2023</t>
        </is>
      </c>
      <c r="B87" t="inlineStr">
        <is>
          <t>avverkningsanmälan</t>
        </is>
      </c>
      <c r="C87" t="inlineStr">
        <is>
          <t>Föryngringsavverkning</t>
        </is>
      </c>
      <c r="D87" s="1" t="n">
        <v>45134</v>
      </c>
      <c r="E87" s="1" t="n">
        <v>46241</v>
      </c>
      <c r="F87" t="inlineStr">
        <is>
          <t>VÄSTRA GÖTALANDS LÄN</t>
        </is>
      </c>
      <c r="G87" t="inlineStr">
        <is>
          <t>STENUNGSUND</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40950-2023</t>
        </is>
      </c>
      <c r="B88" t="inlineStr">
        <is>
          <t>avverkningsanmälan</t>
        </is>
      </c>
      <c r="C88" t="inlineStr">
        <is>
          <t>Föryngringsavverkning</t>
        </is>
      </c>
      <c r="D88" s="1" t="n">
        <v>45173</v>
      </c>
      <c r="E88" s="1" t="n">
        <v>46241</v>
      </c>
      <c r="F88" t="inlineStr">
        <is>
          <t>VÄSTRA GÖTALANDS LÄN</t>
        </is>
      </c>
      <c r="G88" t="inlineStr">
        <is>
          <t>STENUNGSUND</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46241</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51661-2023</t>
        </is>
      </c>
      <c r="B90" t="inlineStr">
        <is>
          <t>avverkningsanmälan</t>
        </is>
      </c>
      <c r="C90" t="inlineStr">
        <is>
          <t>Föryngringsavverkning</t>
        </is>
      </c>
      <c r="D90" s="1" t="n">
        <v>45215</v>
      </c>
      <c r="E90" s="1" t="n">
        <v>46241</v>
      </c>
      <c r="F90" t="inlineStr">
        <is>
          <t>VÄSTRA GÖTALANDS LÄN</t>
        </is>
      </c>
      <c r="G90" t="inlineStr">
        <is>
          <t>STENUNGSUND</t>
        </is>
      </c>
      <c r="I90" t="n">
        <v>9.1</v>
      </c>
      <c r="J90" t="n">
        <v>0</v>
      </c>
      <c r="K90" t="n">
        <v>0</v>
      </c>
      <c r="L90" t="n">
        <v>0</v>
      </c>
      <c r="M90" t="n">
        <v>0</v>
      </c>
      <c r="N90" t="n">
        <v>0</v>
      </c>
      <c r="O90" t="n">
        <v>0</v>
      </c>
      <c r="P90" t="n">
        <v>0</v>
      </c>
      <c r="Q90" t="n">
        <v>0</v>
      </c>
      <c r="R90" t="n">
        <v>0</v>
      </c>
      <c r="S90" t="n">
        <v>0</v>
      </c>
      <c r="T90" t="n">
        <v>0</v>
      </c>
      <c r="U90" t="n">
        <v>0</v>
      </c>
      <c r="V90" s="2" t="inlineStr"/>
    </row>
    <row r="91" ht="15" customHeight="1">
      <c r="A91" t="inlineStr">
        <is>
          <t>A 32960-2023</t>
        </is>
      </c>
      <c r="B91" t="inlineStr">
        <is>
          <t>avverkningsanmälan</t>
        </is>
      </c>
      <c r="C91" t="inlineStr">
        <is>
          <t>Avverkning för annat ändamål</t>
        </is>
      </c>
      <c r="D91" s="1" t="n">
        <v>45125</v>
      </c>
      <c r="E91" s="1" t="n">
        <v>46241</v>
      </c>
      <c r="F91" t="inlineStr">
        <is>
          <t>VÄSTRA GÖTALANDS LÄN</t>
        </is>
      </c>
      <c r="G91" t="inlineStr">
        <is>
          <t>STENUNGSUND</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19296-2025</t>
        </is>
      </c>
      <c r="B92" t="inlineStr">
        <is>
          <t>avverkningsanmälan</t>
        </is>
      </c>
      <c r="C92" t="inlineStr">
        <is>
          <t>Föryngringsavverkning</t>
        </is>
      </c>
      <c r="D92" s="1" t="n">
        <v>45769</v>
      </c>
      <c r="E92" s="1" t="n">
        <v>46241</v>
      </c>
      <c r="F92" t="inlineStr">
        <is>
          <t>VÄSTRA GÖTALANDS LÄN</t>
        </is>
      </c>
      <c r="G92" t="inlineStr">
        <is>
          <t>STENUNGSUND</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23070-2022</t>
        </is>
      </c>
      <c r="B93" t="inlineStr">
        <is>
          <t>avverkningsanmälan</t>
        </is>
      </c>
      <c r="C93" t="inlineStr">
        <is>
          <t>Föryngringsavverkning</t>
        </is>
      </c>
      <c r="D93" s="1" t="n">
        <v>44719</v>
      </c>
      <c r="E93" s="1" t="n">
        <v>46241</v>
      </c>
      <c r="F93" t="inlineStr">
        <is>
          <t>VÄSTRA GÖTALANDS LÄN</t>
        </is>
      </c>
      <c r="G93" t="inlineStr">
        <is>
          <t>STENUNGSUND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32997-2025</t>
        </is>
      </c>
      <c r="B94" t="inlineStr">
        <is>
          <t>avverkningsanmälan</t>
        </is>
      </c>
      <c r="C94" t="inlineStr">
        <is>
          <t>Föryngringsavverkning</t>
        </is>
      </c>
      <c r="D94" s="1" t="n">
        <v>45840</v>
      </c>
      <c r="E94" s="1" t="n">
        <v>46241</v>
      </c>
      <c r="F94" t="inlineStr">
        <is>
          <t>VÄSTRA GÖTALANDS LÄN</t>
        </is>
      </c>
      <c r="G94" t="inlineStr">
        <is>
          <t>STENUNGSUND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4578-2023</t>
        </is>
      </c>
      <c r="B95" t="inlineStr">
        <is>
          <t>avverkningsanmälan</t>
        </is>
      </c>
      <c r="C95" t="inlineStr">
        <is>
          <t>Föryngringsavverkning</t>
        </is>
      </c>
      <c r="D95" s="1" t="n">
        <v>44951</v>
      </c>
      <c r="E95" s="1" t="n">
        <v>46241</v>
      </c>
      <c r="F95" t="inlineStr">
        <is>
          <t>VÄSTRA GÖTALANDS LÄN</t>
        </is>
      </c>
      <c r="G95" t="inlineStr">
        <is>
          <t>STENUNGSUND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26654-2026</t>
        </is>
      </c>
      <c r="B96" t="inlineStr">
        <is>
          <t>avverkningsanmälan</t>
        </is>
      </c>
      <c r="C96" t="inlineStr">
        <is>
          <t>Föryngringsavverkning</t>
        </is>
      </c>
      <c r="D96" s="1" t="n">
        <v>46184</v>
      </c>
      <c r="E96" s="1" t="n">
        <v>46241</v>
      </c>
      <c r="F96" t="inlineStr">
        <is>
          <t>VÄSTRA GÖTALANDS LÄN</t>
        </is>
      </c>
      <c r="G96" t="inlineStr">
        <is>
          <t>STENUNGSUND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48895-2023</t>
        </is>
      </c>
      <c r="B97" t="inlineStr">
        <is>
          <t>avverkningsanmälan</t>
        </is>
      </c>
      <c r="C97" t="inlineStr">
        <is>
          <t>Föryngringsavverkning</t>
        </is>
      </c>
      <c r="D97" s="1" t="n">
        <v>45209</v>
      </c>
      <c r="E97" s="1" t="n">
        <v>46241</v>
      </c>
      <c r="F97" t="inlineStr">
        <is>
          <t>VÄSTRA GÖTALANDS LÄN</t>
        </is>
      </c>
      <c r="G97" t="inlineStr">
        <is>
          <t>STENUNGSUND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28665-2026</t>
        </is>
      </c>
      <c r="B98" t="inlineStr">
        <is>
          <t>avverkningsanmälan</t>
        </is>
      </c>
      <c r="C98" t="inlineStr">
        <is>
          <t>Föryngringsavverkning</t>
        </is>
      </c>
      <c r="D98" s="1" t="n">
        <v>46191</v>
      </c>
      <c r="E98" s="1" t="n">
        <v>46241</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34253-2023</t>
        </is>
      </c>
      <c r="B99" t="inlineStr">
        <is>
          <t>avverkningsanmälan</t>
        </is>
      </c>
      <c r="C99" t="inlineStr">
        <is>
          <t>Föryngringsavverkning</t>
        </is>
      </c>
      <c r="D99" s="1" t="n">
        <v>45138</v>
      </c>
      <c r="E99" s="1" t="n">
        <v>46241</v>
      </c>
      <c r="F99" t="inlineStr">
        <is>
          <t>VÄSTRA GÖTALANDS LÄN</t>
        </is>
      </c>
      <c r="G99" t="inlineStr">
        <is>
          <t>STENUNGSUND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51367-2024</t>
        </is>
      </c>
      <c r="B100" t="inlineStr">
        <is>
          <t>avverkningsanmälan</t>
        </is>
      </c>
      <c r="C100" t="inlineStr">
        <is>
          <t>Föryngringsavverkning</t>
        </is>
      </c>
      <c r="D100" s="1" t="n">
        <v>45604</v>
      </c>
      <c r="E100" s="1" t="n">
        <v>46241</v>
      </c>
      <c r="F100" t="inlineStr">
        <is>
          <t>VÄSTRA GÖTALANDS LÄN</t>
        </is>
      </c>
      <c r="G100" t="inlineStr">
        <is>
          <t>STENUNGSUND</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54931-2024</t>
        </is>
      </c>
      <c r="B101" t="inlineStr">
        <is>
          <t>avverkningsanmälan</t>
        </is>
      </c>
      <c r="C101" t="inlineStr">
        <is>
          <t>Föryngringsavverkning</t>
        </is>
      </c>
      <c r="D101" s="1" t="n">
        <v>45618</v>
      </c>
      <c r="E101" s="1" t="n">
        <v>46241</v>
      </c>
      <c r="F101" t="inlineStr">
        <is>
          <t>VÄSTRA GÖTALANDS LÄN</t>
        </is>
      </c>
      <c r="G101" t="inlineStr">
        <is>
          <t>STENUNGSUND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3569-2023</t>
        </is>
      </c>
      <c r="B102" t="inlineStr">
        <is>
          <t>avverkningsanmälan</t>
        </is>
      </c>
      <c r="C102" t="inlineStr">
        <is>
          <t>Föryngringsavverkning</t>
        </is>
      </c>
      <c r="D102" s="1" t="n">
        <v>44950</v>
      </c>
      <c r="E102" s="1" t="n">
        <v>46241</v>
      </c>
      <c r="F102" t="inlineStr">
        <is>
          <t>VÄSTRA GÖTALANDS LÄN</t>
        </is>
      </c>
      <c r="G102" t="inlineStr">
        <is>
          <t>STENUNGSUND</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8684-2024</t>
        </is>
      </c>
      <c r="B103" t="inlineStr">
        <is>
          <t>avverkningsanmälan</t>
        </is>
      </c>
      <c r="C103" t="inlineStr">
        <is>
          <t>Föryngringsavverkning</t>
        </is>
      </c>
      <c r="D103" s="1" t="n">
        <v>45356</v>
      </c>
      <c r="E103" s="1" t="n">
        <v>46241</v>
      </c>
      <c r="F103" t="inlineStr">
        <is>
          <t>VÄSTRA GÖTALANDS LÄN</t>
        </is>
      </c>
      <c r="G103" t="inlineStr">
        <is>
          <t>STENUNGSUND</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8544-2023</t>
        </is>
      </c>
      <c r="B104" t="inlineStr">
        <is>
          <t>avverkningsanmälan</t>
        </is>
      </c>
      <c r="C104" t="inlineStr">
        <is>
          <t>Föryngringsavverkning</t>
        </is>
      </c>
      <c r="D104" s="1" t="n">
        <v>44977</v>
      </c>
      <c r="E104" s="1" t="n">
        <v>46241</v>
      </c>
      <c r="F104" t="inlineStr">
        <is>
          <t>VÄSTRA GÖTALANDS LÄN</t>
        </is>
      </c>
      <c r="G104" t="inlineStr">
        <is>
          <t>STENUNGSUND</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8567-2023</t>
        </is>
      </c>
      <c r="B105" t="inlineStr">
        <is>
          <t>avverkningsanmälan</t>
        </is>
      </c>
      <c r="C105" t="inlineStr">
        <is>
          <t>Föryngringsavverkning</t>
        </is>
      </c>
      <c r="D105" s="1" t="n">
        <v>44977</v>
      </c>
      <c r="E105" s="1" t="n">
        <v>46241</v>
      </c>
      <c r="F105" t="inlineStr">
        <is>
          <t>VÄSTRA GÖTALANDS LÄN</t>
        </is>
      </c>
      <c r="G105" t="inlineStr">
        <is>
          <t>STENUNGSUND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809-2025</t>
        </is>
      </c>
      <c r="B106" t="inlineStr">
        <is>
          <t>avverkningsanmälan</t>
        </is>
      </c>
      <c r="C106" t="inlineStr">
        <is>
          <t>Föryngringsavverkning</t>
        </is>
      </c>
      <c r="D106" s="1" t="n">
        <v>45665</v>
      </c>
      <c r="E106" s="1" t="n">
        <v>46241</v>
      </c>
      <c r="F106" t="inlineStr">
        <is>
          <t>VÄSTRA GÖTALANDS LÄN</t>
        </is>
      </c>
      <c r="G106" t="inlineStr">
        <is>
          <t>STENUNGSUND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24211-2025</t>
        </is>
      </c>
      <c r="B107" t="inlineStr">
        <is>
          <t>avverkningsanmälan</t>
        </is>
      </c>
      <c r="C107" t="inlineStr">
        <is>
          <t>Föryngringsavverkning</t>
        </is>
      </c>
      <c r="D107" s="1" t="n">
        <v>45797</v>
      </c>
      <c r="E107" s="1" t="n">
        <v>46241</v>
      </c>
      <c r="F107" t="inlineStr">
        <is>
          <t>VÄSTRA GÖTALANDS LÄN</t>
        </is>
      </c>
      <c r="G107" t="inlineStr">
        <is>
          <t>STENUNGSUND</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60832-2024</t>
        </is>
      </c>
      <c r="B108" t="inlineStr">
        <is>
          <t>avverkningsanmälan</t>
        </is>
      </c>
      <c r="C108" t="inlineStr">
        <is>
          <t>Föryngringsavverkning</t>
        </is>
      </c>
      <c r="D108" s="1" t="n">
        <v>45644</v>
      </c>
      <c r="E108" s="1" t="n">
        <v>46241</v>
      </c>
      <c r="F108" t="inlineStr">
        <is>
          <t>VÄSTRA GÖTALANDS LÄN</t>
        </is>
      </c>
      <c r="G108" t="inlineStr">
        <is>
          <t>STENUNGSUND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48365-2024</t>
        </is>
      </c>
      <c r="B109" t="inlineStr">
        <is>
          <t>avverkningsanmälan</t>
        </is>
      </c>
      <c r="C109" t="inlineStr">
        <is>
          <t>Föryngringsavverkning</t>
        </is>
      </c>
      <c r="D109" s="1" t="n">
        <v>45590</v>
      </c>
      <c r="E109" s="1" t="n">
        <v>46241</v>
      </c>
      <c r="F109" t="inlineStr">
        <is>
          <t>VÄSTRA GÖTALANDS LÄN</t>
        </is>
      </c>
      <c r="G109" t="inlineStr">
        <is>
          <t>STENUNGSUND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9893-2025</t>
        </is>
      </c>
      <c r="B110" t="inlineStr">
        <is>
          <t>avverkningsanmälan</t>
        </is>
      </c>
      <c r="C110" t="inlineStr">
        <is>
          <t>Föryngringsavverkning</t>
        </is>
      </c>
      <c r="D110" s="1" t="n">
        <v>45716</v>
      </c>
      <c r="E110" s="1" t="n">
        <v>46241</v>
      </c>
      <c r="F110" t="inlineStr">
        <is>
          <t>VÄSTRA GÖTALANDS LÄN</t>
        </is>
      </c>
      <c r="G110" t="inlineStr">
        <is>
          <t>STENUNGSUND</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2412-2024</t>
        </is>
      </c>
      <c r="B111" t="inlineStr">
        <is>
          <t>avverkningsanmälan</t>
        </is>
      </c>
      <c r="C111" t="inlineStr">
        <is>
          <t>Föryngringsavverkning</t>
        </is>
      </c>
      <c r="D111" s="1" t="n">
        <v>45310</v>
      </c>
      <c r="E111" s="1" t="n">
        <v>46241</v>
      </c>
      <c r="F111" t="inlineStr">
        <is>
          <t>VÄSTRA GÖTALANDS LÄN</t>
        </is>
      </c>
      <c r="G111" t="inlineStr">
        <is>
          <t>STENUNGSUND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35172-2025</t>
        </is>
      </c>
      <c r="B112" t="inlineStr">
        <is>
          <t>avverkningsanmälan</t>
        </is>
      </c>
      <c r="C112" t="inlineStr">
        <is>
          <t>Föryngringsavverkning</t>
        </is>
      </c>
      <c r="D112" s="1" t="n">
        <v>45852</v>
      </c>
      <c r="E112" s="1" t="n">
        <v>46241</v>
      </c>
      <c r="F112" t="inlineStr">
        <is>
          <t>VÄSTRA GÖTALANDS LÄN</t>
        </is>
      </c>
      <c r="G112" t="inlineStr">
        <is>
          <t>STENUNGSUND</t>
        </is>
      </c>
      <c r="I112" t="n">
        <v>4.5</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46241</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2026-08-07T01:56:12Z</dcterms:created>
  <dcterms:modified xmlns:dcterms="http://purl.org/dc/terms/" xmlns:xsi="http://www.w3.org/2001/XMLSchema-instance" xsi:type="dcterms:W3CDTF">2026-08-07T01:56:12Z</dcterms:modified>
</cp:coreProperties>
</file>