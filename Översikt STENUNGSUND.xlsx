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46293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46293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46293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46293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46293</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46293</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46293</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46293</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46293</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6147-2022</t>
        </is>
      </c>
      <c r="B17" t="inlineStr">
        <is>
          <t>avverkningsanmälan</t>
        </is>
      </c>
      <c r="C17" t="inlineStr">
        <is>
          <t>Föryngringsavverkning</t>
        </is>
      </c>
      <c r="D17" s="1" t="n">
        <v>44599</v>
      </c>
      <c r="E17" s="1" t="n">
        <v>46293</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46293</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17346-2026</t>
        </is>
      </c>
      <c r="B19" t="inlineStr">
        <is>
          <t>avverkningsanmälan</t>
        </is>
      </c>
      <c r="C19" t="inlineStr">
        <is>
          <t>Föryngringsavverkning</t>
        </is>
      </c>
      <c r="D19" s="1" t="n">
        <v>46119</v>
      </c>
      <c r="E19" s="1" t="n">
        <v>46293</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54611-2025</t>
        </is>
      </c>
      <c r="B20" t="inlineStr">
        <is>
          <t>avverkningsanmälan</t>
        </is>
      </c>
      <c r="C20" t="inlineStr">
        <is>
          <t>Föryngringsavverkning</t>
        </is>
      </c>
      <c r="D20" s="1" t="n">
        <v>45966</v>
      </c>
      <c r="E20" s="1" t="n">
        <v>46293</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45000-2024</t>
        </is>
      </c>
      <c r="B21" t="inlineStr">
        <is>
          <t>avverkningsanmälan</t>
        </is>
      </c>
      <c r="C21" t="inlineStr">
        <is>
          <t>Föryngringsavverkning</t>
        </is>
      </c>
      <c r="D21" s="1" t="n">
        <v>45575</v>
      </c>
      <c r="E21" s="1" t="n">
        <v>46293</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25125-2026</t>
        </is>
      </c>
      <c r="B22" t="inlineStr">
        <is>
          <t>avverkningsanmälan</t>
        </is>
      </c>
      <c r="C22" t="inlineStr">
        <is>
          <t>Föryngringsavverkning</t>
        </is>
      </c>
      <c r="D22" s="1" t="n">
        <v>46175</v>
      </c>
      <c r="E22" s="1" t="n">
        <v>46293</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37539-2025</t>
        </is>
      </c>
      <c r="B23" t="inlineStr">
        <is>
          <t>avverkningsanmälan</t>
        </is>
      </c>
      <c r="C23" t="inlineStr">
        <is>
          <t>Föryngringsavverkning</t>
        </is>
      </c>
      <c r="D23" s="1" t="n">
        <v>45879</v>
      </c>
      <c r="E23" s="1" t="n">
        <v>46293</v>
      </c>
      <c r="F23" t="inlineStr">
        <is>
          <t>VÄSTRA GÖTALANDS LÄN</t>
        </is>
      </c>
      <c r="G23" t="inlineStr">
        <is>
          <t>STENUNGSUND</t>
        </is>
      </c>
      <c r="I23" t="n">
        <v>1.9</v>
      </c>
      <c r="J23" t="n">
        <v>0</v>
      </c>
      <c r="K23" t="n">
        <v>1</v>
      </c>
      <c r="L23" t="n">
        <v>0</v>
      </c>
      <c r="M23" t="n">
        <v>0</v>
      </c>
      <c r="N23" t="n">
        <v>0</v>
      </c>
      <c r="O23" t="n">
        <v>0</v>
      </c>
      <c r="P23" t="n">
        <v>0</v>
      </c>
      <c r="Q23" t="n">
        <v>0</v>
      </c>
      <c r="R23" t="n">
        <v>0</v>
      </c>
      <c r="S23" t="n">
        <v>1</v>
      </c>
      <c r="T23" t="n">
        <v>1</v>
      </c>
      <c r="U23" t="n">
        <v>0</v>
      </c>
      <c r="V23" s="2" t="inlineStr">
        <is>
          <t>Murgröna</t>
        </is>
      </c>
      <c r="W23">
        <f>HYPERLINK("https://klasma.github.io/Logging_1415/artfynd/A 37539-2025 artfynd.xlsx", "A 37539-2025")</f>
        <v/>
      </c>
      <c r="X23">
        <f>HYPERLINK("https://klasma.github.io/Logging_1415/kartor/A 37539-2025 karta.png", "A 37539-2025")</f>
        <v/>
      </c>
      <c r="Y23">
        <f>HYPERLINK("https://klasma.github.io/Logging_1415/kartor_geotiff/A 37539-2025 georefererad karta.tif", "A 37539-2025")</f>
        <v/>
      </c>
      <c r="AA23">
        <f>HYPERLINK("https://klasma.github.io/Logging_1415/klagomål/A 37539-2025 FSC-klagomål.docx", "A 37539-2025")</f>
        <v/>
      </c>
      <c r="AB23">
        <f>HYPERLINK("https://klasma.github.io/Logging_1415/klagomålsmail/A 37539-2025 FSC-klagomål mail.docx", "A 37539-2025")</f>
        <v/>
      </c>
      <c r="AC23">
        <f>HYPERLINK("https://klasma.github.io/Logging_1415/tillsyn/A 37539-2025 tillsynsbegäran.docx", "A 37539-2025")</f>
        <v/>
      </c>
      <c r="AD23">
        <f>HYPERLINK("https://klasma.github.io/Logging_1415/tillsynsmail/A 37539-2025 tillsynsbegäran mail.docx", "A 37539-2025")</f>
        <v/>
      </c>
    </row>
    <row r="24" ht="15" customHeight="1">
      <c r="A24" t="inlineStr">
        <is>
          <t>A 31696-2026</t>
        </is>
      </c>
      <c r="B24" t="inlineStr">
        <is>
          <t>avverkningsanmälan</t>
        </is>
      </c>
      <c r="C24" t="inlineStr">
        <is>
          <t>Föryngringsavverkning</t>
        </is>
      </c>
      <c r="D24" s="1" t="n">
        <v>46226</v>
      </c>
      <c r="E24" s="1" t="n">
        <v>46293</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46293</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46293</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46293</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46293</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46293</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46293</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62007-2021</t>
        </is>
      </c>
      <c r="B31" t="inlineStr">
        <is>
          <t>avverkningsanmälan</t>
        </is>
      </c>
      <c r="C31" t="inlineStr">
        <is>
          <t>Föryngringsavverkning</t>
        </is>
      </c>
      <c r="D31" s="1" t="n">
        <v>44502</v>
      </c>
      <c r="E31" s="1" t="n">
        <v>46293</v>
      </c>
      <c r="F31" t="inlineStr">
        <is>
          <t>VÄSTRA GÖTALANDS LÄN</t>
        </is>
      </c>
      <c r="G31" t="inlineStr">
        <is>
          <t>STENUNGSUND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46293</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10472-2024</t>
        </is>
      </c>
      <c r="B33" t="inlineStr">
        <is>
          <t>avverkningsanmälan</t>
        </is>
      </c>
      <c r="C33" t="inlineStr">
        <is>
          <t>Föryngringsavverkning</t>
        </is>
      </c>
      <c r="D33" s="1" t="n">
        <v>45366</v>
      </c>
      <c r="E33" s="1" t="n">
        <v>46293</v>
      </c>
      <c r="F33" t="inlineStr">
        <is>
          <t>VÄSTRA GÖTALANDS LÄN</t>
        </is>
      </c>
      <c r="G33" t="inlineStr">
        <is>
          <t>STENUNGSUND</t>
        </is>
      </c>
      <c r="I33" t="n">
        <v>6.3</v>
      </c>
      <c r="J33" t="n">
        <v>0</v>
      </c>
      <c r="K33" t="n">
        <v>0</v>
      </c>
      <c r="L33" t="n">
        <v>0</v>
      </c>
      <c r="M33" t="n">
        <v>0</v>
      </c>
      <c r="N33" t="n">
        <v>0</v>
      </c>
      <c r="O33" t="n">
        <v>0</v>
      </c>
      <c r="P33" t="n">
        <v>0</v>
      </c>
      <c r="Q33" t="n">
        <v>0</v>
      </c>
      <c r="R33" t="n">
        <v>0</v>
      </c>
      <c r="S33" t="n">
        <v>0</v>
      </c>
      <c r="T33" t="n">
        <v>0</v>
      </c>
      <c r="U33" t="n">
        <v>0</v>
      </c>
      <c r="V33" s="2" t="inlineStr"/>
    </row>
    <row r="34" ht="15" customHeight="1">
      <c r="A34" t="inlineStr">
        <is>
          <t>A 30175-2022</t>
        </is>
      </c>
      <c r="B34" t="inlineStr">
        <is>
          <t>avverkningsanmälan</t>
        </is>
      </c>
      <c r="C34" t="inlineStr">
        <is>
          <t>Föryngringsavverkning</t>
        </is>
      </c>
      <c r="D34" s="1" t="n">
        <v>44757</v>
      </c>
      <c r="E34" s="1" t="n">
        <v>46293</v>
      </c>
      <c r="F34" t="inlineStr">
        <is>
          <t>VÄSTRA GÖTALANDS LÄN</t>
        </is>
      </c>
      <c r="G34" t="inlineStr">
        <is>
          <t>STENUNGSUND</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46293</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33011-2022</t>
        </is>
      </c>
      <c r="B36" t="inlineStr">
        <is>
          <t>avverkningsanmälan</t>
        </is>
      </c>
      <c r="C36" t="inlineStr">
        <is>
          <t>Föryngringsavverkning</t>
        </is>
      </c>
      <c r="D36" s="1" t="n">
        <v>44785</v>
      </c>
      <c r="E36" s="1" t="n">
        <v>46293</v>
      </c>
      <c r="F36" t="inlineStr">
        <is>
          <t>VÄSTRA GÖTALANDS LÄN</t>
        </is>
      </c>
      <c r="G36" t="inlineStr">
        <is>
          <t>STENUNGSUND</t>
        </is>
      </c>
      <c r="I36" t="n">
        <v>2.6</v>
      </c>
      <c r="J36" t="n">
        <v>0</v>
      </c>
      <c r="K36" t="n">
        <v>0</v>
      </c>
      <c r="L36" t="n">
        <v>0</v>
      </c>
      <c r="M36" t="n">
        <v>0</v>
      </c>
      <c r="N36" t="n">
        <v>0</v>
      </c>
      <c r="O36" t="n">
        <v>0</v>
      </c>
      <c r="P36" t="n">
        <v>0</v>
      </c>
      <c r="Q36" t="n">
        <v>0</v>
      </c>
      <c r="R36" t="n">
        <v>0</v>
      </c>
      <c r="S36" t="n">
        <v>0</v>
      </c>
      <c r="T36" t="n">
        <v>0</v>
      </c>
      <c r="U36" t="n">
        <v>0</v>
      </c>
      <c r="V36" s="2" t="inlineStr"/>
    </row>
    <row r="37" ht="15" customHeight="1">
      <c r="A37" t="inlineStr">
        <is>
          <t>A 4734-2023</t>
        </is>
      </c>
      <c r="B37" t="inlineStr">
        <is>
          <t>avverkningsanmälan</t>
        </is>
      </c>
      <c r="C37" t="inlineStr">
        <is>
          <t>Föryngringsavverkning</t>
        </is>
      </c>
      <c r="D37" s="1" t="n">
        <v>44957</v>
      </c>
      <c r="E37" s="1" t="n">
        <v>46293</v>
      </c>
      <c r="F37" t="inlineStr">
        <is>
          <t>VÄSTRA GÖTALANDS LÄN</t>
        </is>
      </c>
      <c r="G37" t="inlineStr">
        <is>
          <t>STENUNGSUND</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24211-2025</t>
        </is>
      </c>
      <c r="B38" t="inlineStr">
        <is>
          <t>avverkningsanmälan</t>
        </is>
      </c>
      <c r="C38" t="inlineStr">
        <is>
          <t>Föryngringsavverkning</t>
        </is>
      </c>
      <c r="D38" s="1" t="n">
        <v>45797</v>
      </c>
      <c r="E38" s="1" t="n">
        <v>46293</v>
      </c>
      <c r="F38" t="inlineStr">
        <is>
          <t>VÄSTRA GÖTALANDS LÄN</t>
        </is>
      </c>
      <c r="G38" t="inlineStr">
        <is>
          <t>STENUNGSUND</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46293</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46293</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46293</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46293</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2481-2026</t>
        </is>
      </c>
      <c r="B43" t="inlineStr">
        <is>
          <t>avverkningsanmälan</t>
        </is>
      </c>
      <c r="C43" t="inlineStr">
        <is>
          <t>Föryngringsavverkning</t>
        </is>
      </c>
      <c r="D43" s="1" t="n">
        <v>46037</v>
      </c>
      <c r="E43" s="1" t="n">
        <v>46293</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42791-2025</t>
        </is>
      </c>
      <c r="B44" t="inlineStr">
        <is>
          <t>avverkningsanmälan</t>
        </is>
      </c>
      <c r="C44" t="inlineStr">
        <is>
          <t>Föryngringsavverkning</t>
        </is>
      </c>
      <c r="D44" s="1" t="n">
        <v>45908</v>
      </c>
      <c r="E44" s="1" t="n">
        <v>46293</v>
      </c>
      <c r="F44" t="inlineStr">
        <is>
          <t>VÄSTRA GÖTALANDS LÄN</t>
        </is>
      </c>
      <c r="G44" t="inlineStr">
        <is>
          <t>STENUNGSUND</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46293</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11362-2025</t>
        </is>
      </c>
      <c r="B46" t="inlineStr">
        <is>
          <t>avverkningsanmälan</t>
        </is>
      </c>
      <c r="C46" t="inlineStr">
        <is>
          <t>Föryngringsavverkning</t>
        </is>
      </c>
      <c r="D46" s="1" t="n">
        <v>45726</v>
      </c>
      <c r="E46" s="1" t="n">
        <v>46293</v>
      </c>
      <c r="F46" t="inlineStr">
        <is>
          <t>VÄSTRA GÖTALANDS LÄN</t>
        </is>
      </c>
      <c r="G46" t="inlineStr">
        <is>
          <t>STENUNGSUND</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3570-2023</t>
        </is>
      </c>
      <c r="B47" t="inlineStr">
        <is>
          <t>avverkningsanmälan</t>
        </is>
      </c>
      <c r="C47" t="inlineStr">
        <is>
          <t>Föryngringsavverkning</t>
        </is>
      </c>
      <c r="D47" s="1" t="n">
        <v>44950</v>
      </c>
      <c r="E47" s="1" t="n">
        <v>46293</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32960-2023</t>
        </is>
      </c>
      <c r="B48" t="inlineStr">
        <is>
          <t>avverkningsanmälan</t>
        </is>
      </c>
      <c r="C48" t="inlineStr">
        <is>
          <t>Avverkning för annat ändamål</t>
        </is>
      </c>
      <c r="D48" s="1" t="n">
        <v>45125</v>
      </c>
      <c r="E48" s="1" t="n">
        <v>46293</v>
      </c>
      <c r="F48" t="inlineStr">
        <is>
          <t>VÄSTRA GÖTALANDS LÄN</t>
        </is>
      </c>
      <c r="G48" t="inlineStr">
        <is>
          <t>STENUNGSUND</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60832-2024</t>
        </is>
      </c>
      <c r="B49" t="inlineStr">
        <is>
          <t>avverkningsanmälan</t>
        </is>
      </c>
      <c r="C49" t="inlineStr">
        <is>
          <t>Föryngringsavverkning</t>
        </is>
      </c>
      <c r="D49" s="1" t="n">
        <v>45644</v>
      </c>
      <c r="E49" s="1" t="n">
        <v>46293</v>
      </c>
      <c r="F49" t="inlineStr">
        <is>
          <t>VÄSTRA GÖTALANDS LÄN</t>
        </is>
      </c>
      <c r="G49" t="inlineStr">
        <is>
          <t>STENUNGSUND</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22728-2025</t>
        </is>
      </c>
      <c r="B50" t="inlineStr">
        <is>
          <t>avverkningsanmälan</t>
        </is>
      </c>
      <c r="C50" t="inlineStr">
        <is>
          <t>Föryngringsavverkning</t>
        </is>
      </c>
      <c r="D50" s="1" t="n">
        <v>45789</v>
      </c>
      <c r="E50" s="1" t="n">
        <v>46293</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46293</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46293</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46293</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46293</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46293</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50205-2025</t>
        </is>
      </c>
      <c r="B56" t="inlineStr">
        <is>
          <t>avverkningsanmälan</t>
        </is>
      </c>
      <c r="C56" t="inlineStr">
        <is>
          <t>Föryngringsavverkning</t>
        </is>
      </c>
      <c r="D56" s="1" t="n">
        <v>45943</v>
      </c>
      <c r="E56" s="1" t="n">
        <v>46293</v>
      </c>
      <c r="F56" t="inlineStr">
        <is>
          <t>VÄSTRA GÖTALANDS LÄN</t>
        </is>
      </c>
      <c r="G56" t="inlineStr">
        <is>
          <t>STENUNGSUND</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50543-2025</t>
        </is>
      </c>
      <c r="B57" t="inlineStr">
        <is>
          <t>avverkningsanmälan</t>
        </is>
      </c>
      <c r="C57" t="inlineStr">
        <is>
          <t>Föryngringsavverkning</t>
        </is>
      </c>
      <c r="D57" s="1" t="n">
        <v>45945</v>
      </c>
      <c r="E57" s="1" t="n">
        <v>46293</v>
      </c>
      <c r="F57" t="inlineStr">
        <is>
          <t>VÄSTRA GÖTALANDS LÄN</t>
        </is>
      </c>
      <c r="G57" t="inlineStr">
        <is>
          <t>STENUNGSUND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50538-2025</t>
        </is>
      </c>
      <c r="B58" t="inlineStr">
        <is>
          <t>avverkningsanmälan</t>
        </is>
      </c>
      <c r="C58" t="inlineStr">
        <is>
          <t>Föryngringsavverkning</t>
        </is>
      </c>
      <c r="D58" s="1" t="n">
        <v>45945</v>
      </c>
      <c r="E58" s="1" t="n">
        <v>46293</v>
      </c>
      <c r="F58" t="inlineStr">
        <is>
          <t>VÄSTRA GÖTALANDS LÄN</t>
        </is>
      </c>
      <c r="G58" t="inlineStr">
        <is>
          <t>STENUNGSUND</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52012-2025</t>
        </is>
      </c>
      <c r="B59" t="inlineStr">
        <is>
          <t>avverkningsanmälan</t>
        </is>
      </c>
      <c r="C59" t="inlineStr">
        <is>
          <t>Föryngringsavverkning</t>
        </is>
      </c>
      <c r="D59" s="1" t="n">
        <v>45952</v>
      </c>
      <c r="E59" s="1" t="n">
        <v>46293</v>
      </c>
      <c r="F59" t="inlineStr">
        <is>
          <t>VÄSTRA GÖTALANDS LÄN</t>
        </is>
      </c>
      <c r="G59" t="inlineStr">
        <is>
          <t>STENUNGSUND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6913-2024</t>
        </is>
      </c>
      <c r="B60" t="inlineStr">
        <is>
          <t>avverkningsanmälan</t>
        </is>
      </c>
      <c r="C60" t="inlineStr">
        <is>
          <t>Föryngringsavverkning</t>
        </is>
      </c>
      <c r="D60" s="1" t="n">
        <v>45343</v>
      </c>
      <c r="E60" s="1" t="n">
        <v>46293</v>
      </c>
      <c r="F60" t="inlineStr">
        <is>
          <t>VÄSTRA GÖTALANDS LÄN</t>
        </is>
      </c>
      <c r="G60" t="inlineStr">
        <is>
          <t>STENUNGSUND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17362-2026</t>
        </is>
      </c>
      <c r="B61" t="inlineStr">
        <is>
          <t>avverkningsanmälan</t>
        </is>
      </c>
      <c r="C61" t="inlineStr">
        <is>
          <t>Föryngringsavverkning</t>
        </is>
      </c>
      <c r="D61" s="1" t="n">
        <v>46119</v>
      </c>
      <c r="E61" s="1" t="n">
        <v>46293</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48365-2024</t>
        </is>
      </c>
      <c r="B62" t="inlineStr">
        <is>
          <t>avverkningsanmälan</t>
        </is>
      </c>
      <c r="C62" t="inlineStr">
        <is>
          <t>Föryngringsavverkning</t>
        </is>
      </c>
      <c r="D62" s="1" t="n">
        <v>45590</v>
      </c>
      <c r="E62" s="1" t="n">
        <v>46293</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46293</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18016-2026</t>
        </is>
      </c>
      <c r="B64" t="inlineStr">
        <is>
          <t>avverkningsanmälan</t>
        </is>
      </c>
      <c r="C64" t="inlineStr">
        <is>
          <t>Föryngringsavverkning</t>
        </is>
      </c>
      <c r="D64" s="1" t="n">
        <v>46125</v>
      </c>
      <c r="E64" s="1" t="n">
        <v>46293</v>
      </c>
      <c r="F64" t="inlineStr">
        <is>
          <t>VÄSTRA GÖTALANDS LÄN</t>
        </is>
      </c>
      <c r="G64" t="inlineStr">
        <is>
          <t>STENUNGSUND</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60158-2024</t>
        </is>
      </c>
      <c r="B65" t="inlineStr">
        <is>
          <t>avverkningsanmälan</t>
        </is>
      </c>
      <c r="C65" t="inlineStr">
        <is>
          <t>Föryngringsavverkning</t>
        </is>
      </c>
      <c r="D65" s="1" t="n">
        <v>45642</v>
      </c>
      <c r="E65" s="1" t="n">
        <v>46293</v>
      </c>
      <c r="F65" t="inlineStr">
        <is>
          <t>VÄSTRA GÖTALANDS LÄN</t>
        </is>
      </c>
      <c r="G65" t="inlineStr">
        <is>
          <t>STENUNGSUND</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19059-2023</t>
        </is>
      </c>
      <c r="B66" t="inlineStr">
        <is>
          <t>avverkningsanmälan</t>
        </is>
      </c>
      <c r="C66" t="inlineStr">
        <is>
          <t>Föryngringsavverkning</t>
        </is>
      </c>
      <c r="D66" s="1" t="n">
        <v>45048</v>
      </c>
      <c r="E66" s="1" t="n">
        <v>46293</v>
      </c>
      <c r="F66" t="inlineStr">
        <is>
          <t>VÄSTRA GÖTALANDS LÄN</t>
        </is>
      </c>
      <c r="G66" t="inlineStr">
        <is>
          <t>STENUNGSUND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9893-2025</t>
        </is>
      </c>
      <c r="B67" t="inlineStr">
        <is>
          <t>avverkningsanmälan</t>
        </is>
      </c>
      <c r="C67" t="inlineStr">
        <is>
          <t>Föryngringsavverkning</t>
        </is>
      </c>
      <c r="D67" s="1" t="n">
        <v>45716</v>
      </c>
      <c r="E67" s="1" t="n">
        <v>46293</v>
      </c>
      <c r="F67" t="inlineStr">
        <is>
          <t>VÄSTRA GÖTALANDS LÄN</t>
        </is>
      </c>
      <c r="G67" t="inlineStr">
        <is>
          <t>STENUNGSUND</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2412-2024</t>
        </is>
      </c>
      <c r="B68" t="inlineStr">
        <is>
          <t>avverkningsanmälan</t>
        </is>
      </c>
      <c r="C68" t="inlineStr">
        <is>
          <t>Föryngringsavverkning</t>
        </is>
      </c>
      <c r="D68" s="1" t="n">
        <v>45310</v>
      </c>
      <c r="E68" s="1" t="n">
        <v>46293</v>
      </c>
      <c r="F68" t="inlineStr">
        <is>
          <t>VÄSTRA GÖTALANDS LÄN</t>
        </is>
      </c>
      <c r="G68" t="inlineStr">
        <is>
          <t>STENUNGSUND</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46293</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46293</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23762-2024</t>
        </is>
      </c>
      <c r="B71" t="inlineStr">
        <is>
          <t>avverkningsanmälan</t>
        </is>
      </c>
      <c r="C71" t="inlineStr">
        <is>
          <t>Föryngringsavverkning</t>
        </is>
      </c>
      <c r="D71" s="1" t="n">
        <v>45455</v>
      </c>
      <c r="E71" s="1" t="n">
        <v>46293</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46293</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15726-2025</t>
        </is>
      </c>
      <c r="B73" t="inlineStr">
        <is>
          <t>avverkningsanmälan</t>
        </is>
      </c>
      <c r="C73" t="inlineStr">
        <is>
          <t>Föryngringsavverkning</t>
        </is>
      </c>
      <c r="D73" s="1" t="n">
        <v>45748</v>
      </c>
      <c r="E73" s="1" t="n">
        <v>46293</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52952-2021</t>
        </is>
      </c>
      <c r="B74" t="inlineStr">
        <is>
          <t>avverkningsanmälan</t>
        </is>
      </c>
      <c r="C74" t="inlineStr">
        <is>
          <t>Föryngringsavverkning</t>
        </is>
      </c>
      <c r="D74" s="1" t="n">
        <v>44467</v>
      </c>
      <c r="E74" s="1" t="n">
        <v>46293</v>
      </c>
      <c r="F74" t="inlineStr">
        <is>
          <t>VÄSTRA GÖTALANDS LÄN</t>
        </is>
      </c>
      <c r="G74" t="inlineStr">
        <is>
          <t>STENUNGSUND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19302-2025</t>
        </is>
      </c>
      <c r="B75" t="inlineStr">
        <is>
          <t>avverkningsanmälan</t>
        </is>
      </c>
      <c r="C75" t="inlineStr">
        <is>
          <t>Föryngringsavverkning</t>
        </is>
      </c>
      <c r="D75" s="1" t="n">
        <v>45769</v>
      </c>
      <c r="E75" s="1" t="n">
        <v>46293</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23115-2026</t>
        </is>
      </c>
      <c r="B76" t="inlineStr">
        <is>
          <t>avverkningsanmälan</t>
        </is>
      </c>
      <c r="C76" t="inlineStr">
        <is>
          <t>Föryngringsavverkning</t>
        </is>
      </c>
      <c r="D76" s="1" t="n">
        <v>46161</v>
      </c>
      <c r="E76" s="1" t="n">
        <v>46293</v>
      </c>
      <c r="F76" t="inlineStr">
        <is>
          <t>VÄSTRA GÖTALANDS LÄN</t>
        </is>
      </c>
      <c r="G76" t="inlineStr">
        <is>
          <t>STENUNGSUND</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64992-2023</t>
        </is>
      </c>
      <c r="B77" t="inlineStr">
        <is>
          <t>avverkningsanmälan</t>
        </is>
      </c>
      <c r="C77" t="inlineStr">
        <is>
          <t>Föryngringsavverkning</t>
        </is>
      </c>
      <c r="D77" s="1" t="n">
        <v>45286</v>
      </c>
      <c r="E77" s="1" t="n">
        <v>46293</v>
      </c>
      <c r="F77" t="inlineStr">
        <is>
          <t>VÄSTRA GÖTALANDS LÄN</t>
        </is>
      </c>
      <c r="G77" t="inlineStr">
        <is>
          <t>STENUNGSUND</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35172-2025</t>
        </is>
      </c>
      <c r="B78" t="inlineStr">
        <is>
          <t>avverkningsanmälan</t>
        </is>
      </c>
      <c r="C78" t="inlineStr">
        <is>
          <t>Föryngringsavverkning</t>
        </is>
      </c>
      <c r="D78" s="1" t="n">
        <v>45852</v>
      </c>
      <c r="E78" s="1" t="n">
        <v>46293</v>
      </c>
      <c r="F78" t="inlineStr">
        <is>
          <t>VÄSTRA GÖTALANDS LÄN</t>
        </is>
      </c>
      <c r="G78" t="inlineStr">
        <is>
          <t>STENUNGSUND</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46293</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34555-2024</t>
        </is>
      </c>
      <c r="B80" t="inlineStr">
        <is>
          <t>avverkningsanmälan</t>
        </is>
      </c>
      <c r="C80" t="inlineStr">
        <is>
          <t>Föryngringsavverkning</t>
        </is>
      </c>
      <c r="D80" s="1" t="n">
        <v>45525</v>
      </c>
      <c r="E80" s="1" t="n">
        <v>46293</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9282-2025</t>
        </is>
      </c>
      <c r="B81" t="inlineStr">
        <is>
          <t>avverkningsanmälan</t>
        </is>
      </c>
      <c r="C81" t="inlineStr">
        <is>
          <t>Föryngringsavverkning</t>
        </is>
      </c>
      <c r="D81" s="1" t="n">
        <v>45714</v>
      </c>
      <c r="E81" s="1" t="n">
        <v>46293</v>
      </c>
      <c r="F81" t="inlineStr">
        <is>
          <t>VÄSTRA GÖTALANDS LÄN</t>
        </is>
      </c>
      <c r="G81" t="inlineStr">
        <is>
          <t>STENUNGSUND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6699-2022</t>
        </is>
      </c>
      <c r="B82" t="inlineStr">
        <is>
          <t>avverkningsanmälan</t>
        </is>
      </c>
      <c r="C82" t="inlineStr">
        <is>
          <t>Avverkning för annat ändamål</t>
        </is>
      </c>
      <c r="D82" s="1" t="n">
        <v>44602</v>
      </c>
      <c r="E82" s="1" t="n">
        <v>46293</v>
      </c>
      <c r="F82" t="inlineStr">
        <is>
          <t>VÄSTRA GÖTALANDS LÄN</t>
        </is>
      </c>
      <c r="G82" t="inlineStr">
        <is>
          <t>STENUNGSUND</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72944-2021</t>
        </is>
      </c>
      <c r="B83" t="inlineStr">
        <is>
          <t>avverkningsanmälan</t>
        </is>
      </c>
      <c r="C83" t="inlineStr">
        <is>
          <t>Föryngringsavverkning</t>
        </is>
      </c>
      <c r="D83" s="1" t="n">
        <v>44547</v>
      </c>
      <c r="E83" s="1" t="n">
        <v>46293</v>
      </c>
      <c r="F83" t="inlineStr">
        <is>
          <t>VÄSTRA GÖTALANDS LÄN</t>
        </is>
      </c>
      <c r="G83" t="inlineStr">
        <is>
          <t>STENUNGSUND</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26654-2026</t>
        </is>
      </c>
      <c r="B84" t="inlineStr">
        <is>
          <t>avverkningsanmälan</t>
        </is>
      </c>
      <c r="C84" t="inlineStr">
        <is>
          <t>Föryngringsavverkning</t>
        </is>
      </c>
      <c r="D84" s="1" t="n">
        <v>46184</v>
      </c>
      <c r="E84" s="1" t="n">
        <v>46293</v>
      </c>
      <c r="F84" t="inlineStr">
        <is>
          <t>VÄSTRA GÖTALANDS LÄN</t>
        </is>
      </c>
      <c r="G84" t="inlineStr">
        <is>
          <t>STENUNGSUND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15535-2024</t>
        </is>
      </c>
      <c r="B85" t="inlineStr">
        <is>
          <t>avverkningsanmälan</t>
        </is>
      </c>
      <c r="C85" t="inlineStr">
        <is>
          <t>Föryngringsavverkning</t>
        </is>
      </c>
      <c r="D85" s="1" t="n">
        <v>45401</v>
      </c>
      <c r="E85" s="1" t="n">
        <v>46293</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46293</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46293</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28665-2026</t>
        </is>
      </c>
      <c r="B88" t="inlineStr">
        <is>
          <t>avverkningsanmälan</t>
        </is>
      </c>
      <c r="C88" t="inlineStr">
        <is>
          <t>Föryngringsavverkning</t>
        </is>
      </c>
      <c r="D88" s="1" t="n">
        <v>46191</v>
      </c>
      <c r="E88" s="1" t="n">
        <v>46293</v>
      </c>
      <c r="F88" t="inlineStr">
        <is>
          <t>VÄSTRA GÖTALANDS LÄN</t>
        </is>
      </c>
      <c r="G88" t="inlineStr">
        <is>
          <t>STENUNGSUND</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14981-2025</t>
        </is>
      </c>
      <c r="B89" t="inlineStr">
        <is>
          <t>avverkningsanmälan</t>
        </is>
      </c>
      <c r="C89" t="inlineStr">
        <is>
          <t>Föryngringsavverkning</t>
        </is>
      </c>
      <c r="D89" s="1" t="n">
        <v>45743</v>
      </c>
      <c r="E89" s="1" t="n">
        <v>46293</v>
      </c>
      <c r="F89" t="inlineStr">
        <is>
          <t>VÄSTRA GÖTALANDS LÄN</t>
        </is>
      </c>
      <c r="G89" t="inlineStr">
        <is>
          <t>STENUNGSUND</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46293</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33950-2023</t>
        </is>
      </c>
      <c r="B91" t="inlineStr">
        <is>
          <t>avverkningsanmälan</t>
        </is>
      </c>
      <c r="C91" t="inlineStr">
        <is>
          <t>Föryngringsavverkning</t>
        </is>
      </c>
      <c r="D91" s="1" t="n">
        <v>45134</v>
      </c>
      <c r="E91" s="1" t="n">
        <v>46293</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40950-2023</t>
        </is>
      </c>
      <c r="B92" t="inlineStr">
        <is>
          <t>avverkningsanmälan</t>
        </is>
      </c>
      <c r="C92" t="inlineStr">
        <is>
          <t>Föryngringsavverkning</t>
        </is>
      </c>
      <c r="D92" s="1" t="n">
        <v>45173</v>
      </c>
      <c r="E92" s="1" t="n">
        <v>46293</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51661-2023</t>
        </is>
      </c>
      <c r="B93" t="inlineStr">
        <is>
          <t>avverkningsanmälan</t>
        </is>
      </c>
      <c r="C93" t="inlineStr">
        <is>
          <t>Föryngringsavverkning</t>
        </is>
      </c>
      <c r="D93" s="1" t="n">
        <v>45215</v>
      </c>
      <c r="E93" s="1" t="n">
        <v>46293</v>
      </c>
      <c r="F93" t="inlineStr">
        <is>
          <t>VÄSTRA GÖTALANDS LÄN</t>
        </is>
      </c>
      <c r="G93" t="inlineStr">
        <is>
          <t>STENUNGSUND</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23070-2022</t>
        </is>
      </c>
      <c r="B94" t="inlineStr">
        <is>
          <t>avverkningsanmälan</t>
        </is>
      </c>
      <c r="C94" t="inlineStr">
        <is>
          <t>Föryngringsavverkning</t>
        </is>
      </c>
      <c r="D94" s="1" t="n">
        <v>44719</v>
      </c>
      <c r="E94" s="1" t="n">
        <v>46293</v>
      </c>
      <c r="F94" t="inlineStr">
        <is>
          <t>VÄSTRA GÖTALANDS LÄN</t>
        </is>
      </c>
      <c r="G94" t="inlineStr">
        <is>
          <t>STENUNGSUND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32997-2025</t>
        </is>
      </c>
      <c r="B95" t="inlineStr">
        <is>
          <t>avverkningsanmälan</t>
        </is>
      </c>
      <c r="C95" t="inlineStr">
        <is>
          <t>Föryngringsavverkning</t>
        </is>
      </c>
      <c r="D95" s="1" t="n">
        <v>45840</v>
      </c>
      <c r="E95" s="1" t="n">
        <v>46293</v>
      </c>
      <c r="F95" t="inlineStr">
        <is>
          <t>VÄSTRA GÖTALANDS LÄN</t>
        </is>
      </c>
      <c r="G95" t="inlineStr">
        <is>
          <t>STENUNGSUND</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4578-2023</t>
        </is>
      </c>
      <c r="B96" t="inlineStr">
        <is>
          <t>avverkningsanmälan</t>
        </is>
      </c>
      <c r="C96" t="inlineStr">
        <is>
          <t>Föryngringsavverkning</t>
        </is>
      </c>
      <c r="D96" s="1" t="n">
        <v>44951</v>
      </c>
      <c r="E96" s="1" t="n">
        <v>46293</v>
      </c>
      <c r="F96" t="inlineStr">
        <is>
          <t>VÄSTRA GÖTALANDS LÄN</t>
        </is>
      </c>
      <c r="G96" t="inlineStr">
        <is>
          <t>STENUNGSUND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38641-2026</t>
        </is>
      </c>
      <c r="B97" t="inlineStr">
        <is>
          <t>avverkningsanmälan</t>
        </is>
      </c>
      <c r="C97" t="inlineStr">
        <is>
          <t>Föryngringsavverkning</t>
        </is>
      </c>
      <c r="D97" s="1" t="n">
        <v>46283</v>
      </c>
      <c r="E97" s="1" t="n">
        <v>46293</v>
      </c>
      <c r="F97" t="inlineStr">
        <is>
          <t>VÄSTRA GÖTALANDS LÄN</t>
        </is>
      </c>
      <c r="G97" t="inlineStr">
        <is>
          <t>STENUNGSUND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32931-2026</t>
        </is>
      </c>
      <c r="B98" t="inlineStr">
        <is>
          <t>avverkningsanmälan</t>
        </is>
      </c>
      <c r="C98" t="inlineStr">
        <is>
          <t>Föryngringsavverkning</t>
        </is>
      </c>
      <c r="D98" s="1" t="n">
        <v>46244</v>
      </c>
      <c r="E98" s="1" t="n">
        <v>46293</v>
      </c>
      <c r="F98" t="inlineStr">
        <is>
          <t>VÄSTRA GÖTALANDS LÄN</t>
        </is>
      </c>
      <c r="G98" t="inlineStr">
        <is>
          <t>STENUNGSUND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39682-2026</t>
        </is>
      </c>
      <c r="B99" t="inlineStr">
        <is>
          <t>avverkningsanmälan</t>
        </is>
      </c>
      <c r="C99" t="inlineStr">
        <is>
          <t>Föryngringsavverkning</t>
        </is>
      </c>
      <c r="D99" s="1" t="n">
        <v>46289</v>
      </c>
      <c r="E99" s="1" t="n">
        <v>46293</v>
      </c>
      <c r="F99" t="inlineStr">
        <is>
          <t>VÄSTRA GÖTALANDS LÄN</t>
        </is>
      </c>
      <c r="G99" t="inlineStr">
        <is>
          <t>STENUNGSUND</t>
        </is>
      </c>
      <c r="I99" t="n">
        <v>8.699999999999999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34253-2023</t>
        </is>
      </c>
      <c r="B100" t="inlineStr">
        <is>
          <t>avverkningsanmälan</t>
        </is>
      </c>
      <c r="C100" t="inlineStr">
        <is>
          <t>Föryngringsavverkning</t>
        </is>
      </c>
      <c r="D100" s="1" t="n">
        <v>45138</v>
      </c>
      <c r="E100" s="1" t="n">
        <v>46293</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51367-2024</t>
        </is>
      </c>
      <c r="B101" t="inlineStr">
        <is>
          <t>avverkningsanmälan</t>
        </is>
      </c>
      <c r="C101" t="inlineStr">
        <is>
          <t>Föryngringsavverkning</t>
        </is>
      </c>
      <c r="D101" s="1" t="n">
        <v>45604</v>
      </c>
      <c r="E101" s="1" t="n">
        <v>46293</v>
      </c>
      <c r="F101" t="inlineStr">
        <is>
          <t>VÄSTRA GÖTALANDS LÄN</t>
        </is>
      </c>
      <c r="G101" t="inlineStr">
        <is>
          <t>STENUNGSUND</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54931-2024</t>
        </is>
      </c>
      <c r="B102" t="inlineStr">
        <is>
          <t>avverkningsanmälan</t>
        </is>
      </c>
      <c r="C102" t="inlineStr">
        <is>
          <t>Föryngringsavverkning</t>
        </is>
      </c>
      <c r="D102" s="1" t="n">
        <v>45618</v>
      </c>
      <c r="E102" s="1" t="n">
        <v>46293</v>
      </c>
      <c r="F102" t="inlineStr">
        <is>
          <t>VÄSTRA GÖTALANDS LÄN</t>
        </is>
      </c>
      <c r="G102" t="inlineStr">
        <is>
          <t>STENUNGSUND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3569-2023</t>
        </is>
      </c>
      <c r="B103" t="inlineStr">
        <is>
          <t>avverkningsanmälan</t>
        </is>
      </c>
      <c r="C103" t="inlineStr">
        <is>
          <t>Föryngringsavverkning</t>
        </is>
      </c>
      <c r="D103" s="1" t="n">
        <v>44950</v>
      </c>
      <c r="E103" s="1" t="n">
        <v>46293</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8684-2024</t>
        </is>
      </c>
      <c r="B104" t="inlineStr">
        <is>
          <t>avverkningsanmälan</t>
        </is>
      </c>
      <c r="C104" t="inlineStr">
        <is>
          <t>Föryngringsavverkning</t>
        </is>
      </c>
      <c r="D104" s="1" t="n">
        <v>45356</v>
      </c>
      <c r="E104" s="1" t="n">
        <v>46293</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8544-2023</t>
        </is>
      </c>
      <c r="B105" t="inlineStr">
        <is>
          <t>avverkningsanmälan</t>
        </is>
      </c>
      <c r="C105" t="inlineStr">
        <is>
          <t>Föryngringsavverkning</t>
        </is>
      </c>
      <c r="D105" s="1" t="n">
        <v>44977</v>
      </c>
      <c r="E105" s="1" t="n">
        <v>46293</v>
      </c>
      <c r="F105" t="inlineStr">
        <is>
          <t>VÄSTRA GÖTALANDS LÄN</t>
        </is>
      </c>
      <c r="G105" t="inlineStr">
        <is>
          <t>STENUNGSUND</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8567-2023</t>
        </is>
      </c>
      <c r="B106" t="inlineStr">
        <is>
          <t>avverkningsanmälan</t>
        </is>
      </c>
      <c r="C106" t="inlineStr">
        <is>
          <t>Föryngringsavverkning</t>
        </is>
      </c>
      <c r="D106" s="1" t="n">
        <v>44977</v>
      </c>
      <c r="E106" s="1" t="n">
        <v>46293</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809-2025</t>
        </is>
      </c>
      <c r="B107" t="inlineStr">
        <is>
          <t>avverkningsanmälan</t>
        </is>
      </c>
      <c r="C107" t="inlineStr">
        <is>
          <t>Föryngringsavverkning</t>
        </is>
      </c>
      <c r="D107" s="1" t="n">
        <v>45665</v>
      </c>
      <c r="E107" s="1" t="n">
        <v>46293</v>
      </c>
      <c r="F107" t="inlineStr">
        <is>
          <t>VÄSTRA GÖTALANDS LÄN</t>
        </is>
      </c>
      <c r="G107" t="inlineStr">
        <is>
          <t>STENUNGSUND</t>
        </is>
      </c>
      <c r="I107" t="n">
        <v>1</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46293</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2026-09-28T02:00:47Z</dcterms:created>
  <dcterms:modified xmlns:dcterms="http://purl.org/dc/terms/" xmlns:xsi="http://www.w3.org/2001/XMLSchema-instance" xsi:type="dcterms:W3CDTF">2026-09-28T02:00:47Z</dcterms:modified>
</cp:coreProperties>
</file>