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45676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45676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45676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45676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45676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45676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45676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45676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45676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45676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44272-2024</t>
        </is>
      </c>
      <c r="B12" s="1" t="n">
        <v>45573</v>
      </c>
      <c r="C12" s="1" t="n">
        <v>45676</v>
      </c>
      <c r="D12" t="inlineStr">
        <is>
          <t>VÄSTRA GÖTALANDS LÄN</t>
        </is>
      </c>
      <c r="E12" t="inlineStr">
        <is>
          <t>STENUNGSUND</t>
        </is>
      </c>
      <c r="G12" t="n">
        <v>3.8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HYPERLINK("https://klasma.github.io/Logging_1415/artfynd/A 44272-2024 artfynd.xlsx", "A 44272-2024")</f>
        <v/>
      </c>
      <c r="T12">
        <f>HYPERLINK("https://klasma.github.io/Logging_1415/kartor/A 44272-2024 karta.png", "A 44272-2024")</f>
        <v/>
      </c>
      <c r="V12">
        <f>HYPERLINK("https://klasma.github.io/Logging_1415/klagomål/A 44272-2024 FSC-klagomål.docx", "A 44272-2024")</f>
        <v/>
      </c>
      <c r="W12">
        <f>HYPERLINK("https://klasma.github.io/Logging_1415/klagomålsmail/A 44272-2024 FSC-klagomål mail.docx", "A 44272-2024")</f>
        <v/>
      </c>
      <c r="X12">
        <f>HYPERLINK("https://klasma.github.io/Logging_1415/tillsyn/A 44272-2024 tillsynsbegäran.docx", "A 44272-2024")</f>
        <v/>
      </c>
      <c r="Y12">
        <f>HYPERLINK("https://klasma.github.io/Logging_1415/tillsynsmail/A 44272-2024 tillsynsbegäran mail.docx", "A 44272-2024")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45676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45676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45676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45676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45676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45676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48345-2024</t>
        </is>
      </c>
      <c r="B19" s="1" t="n">
        <v>45590</v>
      </c>
      <c r="C19" s="1" t="n">
        <v>45676</v>
      </c>
      <c r="D19" t="inlineStr">
        <is>
          <t>VÄSTRA GÖTALANDS LÄN</t>
        </is>
      </c>
      <c r="E19" t="inlineStr">
        <is>
          <t>STENUNGSUND</t>
        </is>
      </c>
      <c r="G19" t="n">
        <v>6.3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HYPERLINK("https://klasma.github.io/Logging_1415/artfynd/A 48345-2024 artfynd.xlsx", "A 48345-2024")</f>
        <v/>
      </c>
      <c r="T19">
        <f>HYPERLINK("https://klasma.github.io/Logging_1415/kartor/A 48345-2024 karta.png", "A 48345-2024")</f>
        <v/>
      </c>
      <c r="V19">
        <f>HYPERLINK("https://klasma.github.io/Logging_1415/klagomål/A 48345-2024 FSC-klagomål.docx", "A 48345-2024")</f>
        <v/>
      </c>
      <c r="W19">
        <f>HYPERLINK("https://klasma.github.io/Logging_1415/klagomålsmail/A 48345-2024 FSC-klagomål mail.docx", "A 48345-2024")</f>
        <v/>
      </c>
      <c r="X19">
        <f>HYPERLINK("https://klasma.github.io/Logging_1415/tillsyn/A 48345-2024 tillsynsbegäran.docx", "A 48345-2024")</f>
        <v/>
      </c>
      <c r="Y19">
        <f>HYPERLINK("https://klasma.github.io/Logging_1415/tillsynsmail/A 48345-2024 tillsynsbegäran mail.docx", "A 48345-2024")</f>
        <v/>
      </c>
    </row>
    <row r="20" ht="15" customHeight="1">
      <c r="A20" t="inlineStr">
        <is>
          <t>A 50295-2024</t>
        </is>
      </c>
      <c r="B20" s="1" t="n">
        <v>45600</v>
      </c>
      <c r="C20" s="1" t="n">
        <v>45676</v>
      </c>
      <c r="D20" t="inlineStr">
        <is>
          <t>VÄSTRA GÖTALANDS LÄN</t>
        </is>
      </c>
      <c r="E20" t="inlineStr">
        <is>
          <t>STENUNGSUND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HYPERLINK("https://klasma.github.io/Logging_1415/artfynd/A 50295-2024 artfynd.xlsx", "A 50295-2024")</f>
        <v/>
      </c>
      <c r="T20">
        <f>HYPERLINK("https://klasma.github.io/Logging_1415/kartor/A 50295-2024 karta.png", "A 50295-2024")</f>
        <v/>
      </c>
      <c r="V20">
        <f>HYPERLINK("https://klasma.github.io/Logging_1415/klagomål/A 50295-2024 FSC-klagomål.docx", "A 50295-2024")</f>
        <v/>
      </c>
      <c r="W20">
        <f>HYPERLINK("https://klasma.github.io/Logging_1415/klagomålsmail/A 50295-2024 FSC-klagomål mail.docx", "A 50295-2024")</f>
        <v/>
      </c>
      <c r="X20">
        <f>HYPERLINK("https://klasma.github.io/Logging_1415/tillsyn/A 50295-2024 tillsynsbegäran.docx", "A 50295-2024")</f>
        <v/>
      </c>
      <c r="Y20">
        <f>HYPERLINK("https://klasma.github.io/Logging_1415/tillsynsmail/A 50295-2024 tillsynsbegäran mail.docx", "A 50295-2024")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45676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45676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45676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45676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45676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45676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45676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45676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45676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45676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45676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45676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45676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45676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45676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45676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45676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45676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45676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45676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45676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45676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45676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45676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45676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45676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45676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45676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45676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45676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45676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45676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45676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45676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45676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45676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45676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45676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45676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45676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45676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45676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45676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45676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45676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45676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45676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45676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45676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45676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45676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45676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45676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45676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45676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45676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45676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45676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45676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45676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45676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45676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45676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45676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45676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45676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45676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45676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45676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45676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45676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45676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45676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45676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45676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45676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45676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45676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45676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45676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45676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45676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45676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45676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45676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45676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45676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45676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45676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45676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45676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45676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45676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45676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45676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45676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45676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45676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45676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45676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45676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45676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45676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45676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45676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45676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45676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45676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45676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45676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45676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45676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45676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45676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45676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45676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45676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45676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45676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45676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45676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45676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45676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45676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45676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45676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45676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45676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45676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45676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45676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45676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45676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60180-2024</t>
        </is>
      </c>
      <c r="B154" s="1" t="n">
        <v>45642</v>
      </c>
      <c r="C154" s="1" t="n">
        <v>45676</v>
      </c>
      <c r="D154" t="inlineStr">
        <is>
          <t>VÄSTRA GÖTALANDS LÄN</t>
        </is>
      </c>
      <c r="E154" t="inlineStr">
        <is>
          <t>STENUNGSUND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60158-2024</t>
        </is>
      </c>
      <c r="B155" s="1" t="n">
        <v>45642</v>
      </c>
      <c r="C155" s="1" t="n">
        <v>45676</v>
      </c>
      <c r="D155" t="inlineStr">
        <is>
          <t>VÄSTRA GÖTALANDS LÄN</t>
        </is>
      </c>
      <c r="E155" t="inlineStr">
        <is>
          <t>STENUNGSUND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45676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45676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809-2025</t>
        </is>
      </c>
      <c r="B158" s="1" t="n">
        <v>45665</v>
      </c>
      <c r="C158" s="1" t="n">
        <v>45676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1291-2025</t>
        </is>
      </c>
      <c r="B159" s="1" t="n">
        <v>45667</v>
      </c>
      <c r="C159" s="1" t="n">
        <v>45676</v>
      </c>
      <c r="D159" t="inlineStr">
        <is>
          <t>VÄSTRA GÖTALANDS LÄN</t>
        </is>
      </c>
      <c r="E159" t="inlineStr">
        <is>
          <t>STENUNGSUND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2025-01-19T15:58:39Z</dcterms:created>
  <dcterms:modified xmlns:dcterms="http://purl.org/dc/terms/" xmlns:xsi="http://www.w3.org/2001/XMLSchema-instance" xsi:type="dcterms:W3CDTF">2025-01-19T15:58:39Z</dcterms:modified>
</cp:coreProperties>
</file>