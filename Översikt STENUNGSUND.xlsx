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46042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46042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46042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46042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46042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46042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46042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46042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46042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12075-2022</t>
        </is>
      </c>
      <c r="B17" s="1" t="n">
        <v>44636.47275462963</v>
      </c>
      <c r="C17" s="1" t="n">
        <v>46042</v>
      </c>
      <c r="D17" t="inlineStr">
        <is>
          <t>VÄSTRA GÖTALANDS LÄN</t>
        </is>
      </c>
      <c r="E17" t="inlineStr">
        <is>
          <t>STENUNGSUND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HYPERLINK("https://klasma.github.io/Logging_1415/artfynd/A 12075-2022 artfynd.xlsx", "A 12075-2022")</f>
        <v/>
      </c>
      <c r="T17">
        <f>HYPERLINK("https://klasma.github.io/Logging_1415/kartor/A 12075-2022 karta.png", "A 12075-2022")</f>
        <v/>
      </c>
      <c r="V17">
        <f>HYPERLINK("https://klasma.github.io/Logging_1415/klagomål/A 12075-2022 FSC-klagomål.docx", "A 12075-2022")</f>
        <v/>
      </c>
      <c r="W17">
        <f>HYPERLINK("https://klasma.github.io/Logging_1415/klagomålsmail/A 12075-2022 FSC-klagomål mail.docx", "A 12075-2022")</f>
        <v/>
      </c>
      <c r="X17">
        <f>HYPERLINK("https://klasma.github.io/Logging_1415/tillsyn/A 12075-2022 tillsynsbegäran.docx", "A 12075-2022")</f>
        <v/>
      </c>
      <c r="Y17">
        <f>HYPERLINK("https://klasma.github.io/Logging_1415/tillsynsmail/A 12075-2022 tillsynsbegäran mail.docx", "A 12075-2022")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46042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46042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46042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46042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46042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46042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46042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3244-2022</t>
        </is>
      </c>
      <c r="B26" s="1" t="n">
        <v>44582</v>
      </c>
      <c r="C26" s="1" t="n">
        <v>46042</v>
      </c>
      <c r="D26" t="inlineStr">
        <is>
          <t>VÄSTRA GÖTALANDS LÄN</t>
        </is>
      </c>
      <c r="E26" t="inlineStr">
        <is>
          <t>STENUNGSUND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46042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46042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46042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46042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46042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46042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46042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46042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46042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46042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46042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46042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23762-2024</t>
        </is>
      </c>
      <c r="B39" s="1" t="n">
        <v>45455.36590277778</v>
      </c>
      <c r="C39" s="1" t="n">
        <v>46042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13586-2024</t>
        </is>
      </c>
      <c r="B40" s="1" t="n">
        <v>45389.85628472222</v>
      </c>
      <c r="C40" s="1" t="n">
        <v>46042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24211-2025</t>
        </is>
      </c>
      <c r="B41" s="1" t="n">
        <v>45797.34690972222</v>
      </c>
      <c r="C41" s="1" t="n">
        <v>46042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46042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46042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46042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38994-2025</t>
        </is>
      </c>
      <c r="B45" s="1" t="n">
        <v>45888.33225694444</v>
      </c>
      <c r="C45" s="1" t="n">
        <v>46042</v>
      </c>
      <c r="D45" t="inlineStr">
        <is>
          <t>VÄSTRA GÖTALANDS LÄN</t>
        </is>
      </c>
      <c r="E45" t="inlineStr">
        <is>
          <t>STENUNGSUND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24807-2023</t>
        </is>
      </c>
      <c r="B46" s="1" t="n">
        <v>45084</v>
      </c>
      <c r="C46" s="1" t="n">
        <v>46042</v>
      </c>
      <c r="D46" t="inlineStr">
        <is>
          <t>VÄSTRA GÖTALANDS LÄN</t>
        </is>
      </c>
      <c r="E46" t="inlineStr">
        <is>
          <t>STENUNGSUND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60832-2024</t>
        </is>
      </c>
      <c r="B47" s="1" t="n">
        <v>45644.64081018518</v>
      </c>
      <c r="C47" s="1" t="n">
        <v>46042</v>
      </c>
      <c r="D47" t="inlineStr">
        <is>
          <t>VÄSTRA GÖTALANDS LÄN</t>
        </is>
      </c>
      <c r="E47" t="inlineStr">
        <is>
          <t>STENUNGSUND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8576-2023</t>
        </is>
      </c>
      <c r="B48" s="1" t="n">
        <v>44977</v>
      </c>
      <c r="C48" s="1" t="n">
        <v>46042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46042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48365-2024</t>
        </is>
      </c>
      <c r="B50" s="1" t="n">
        <v>45590.57652777778</v>
      </c>
      <c r="C50" s="1" t="n">
        <v>46042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2412-2024</t>
        </is>
      </c>
      <c r="B51" s="1" t="n">
        <v>45310</v>
      </c>
      <c r="C51" s="1" t="n">
        <v>46042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3570-2023</t>
        </is>
      </c>
      <c r="B52" s="1" t="n">
        <v>44950.49107638889</v>
      </c>
      <c r="C52" s="1" t="n">
        <v>46042</v>
      </c>
      <c r="D52" t="inlineStr">
        <is>
          <t>VÄSTRA GÖTALANDS LÄN</t>
        </is>
      </c>
      <c r="E52" t="inlineStr">
        <is>
          <t>STENUNGSUND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9893-2025</t>
        </is>
      </c>
      <c r="B53" s="1" t="n">
        <v>45716.70841435185</v>
      </c>
      <c r="C53" s="1" t="n">
        <v>46042</v>
      </c>
      <c r="D53" t="inlineStr">
        <is>
          <t>VÄSTRA GÖTALANDS LÄN</t>
        </is>
      </c>
      <c r="E53" t="inlineStr">
        <is>
          <t>STENUNGSUND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46042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46042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33010-2022</t>
        </is>
      </c>
      <c r="B56" s="1" t="n">
        <v>44785</v>
      </c>
      <c r="C56" s="1" t="n">
        <v>46042</v>
      </c>
      <c r="D56" t="inlineStr">
        <is>
          <t>VÄSTRA GÖTALANDS LÄN</t>
        </is>
      </c>
      <c r="E56" t="inlineStr">
        <is>
          <t>STENUNGSUND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33011-2022</t>
        </is>
      </c>
      <c r="B57" s="1" t="n">
        <v>44785.31972222222</v>
      </c>
      <c r="C57" s="1" t="n">
        <v>46042</v>
      </c>
      <c r="D57" t="inlineStr">
        <is>
          <t>VÄSTRA GÖTALANDS LÄN</t>
        </is>
      </c>
      <c r="E57" t="inlineStr">
        <is>
          <t>STENUNGSUND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46042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32997-2025</t>
        </is>
      </c>
      <c r="B59" s="1" t="n">
        <v>45840.33818287037</v>
      </c>
      <c r="C59" s="1" t="n">
        <v>46042</v>
      </c>
      <c r="D59" t="inlineStr">
        <is>
          <t>VÄSTRA GÖTALANDS LÄN</t>
        </is>
      </c>
      <c r="E59" t="inlineStr">
        <is>
          <t>STENUNGSUND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46042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46042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30175-2022</t>
        </is>
      </c>
      <c r="B62" s="1" t="n">
        <v>44757</v>
      </c>
      <c r="C62" s="1" t="n">
        <v>46042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46042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4233-2021</t>
        </is>
      </c>
      <c r="B64" s="1" t="n">
        <v>44223</v>
      </c>
      <c r="C64" s="1" t="n">
        <v>46042</v>
      </c>
      <c r="D64" t="inlineStr">
        <is>
          <t>VÄSTRA GÖTALANDS LÄN</t>
        </is>
      </c>
      <c r="E64" t="inlineStr">
        <is>
          <t>STENUNGSUND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31625-2025</t>
        </is>
      </c>
      <c r="B65" s="1" t="n">
        <v>45834.29967592593</v>
      </c>
      <c r="C65" s="1" t="n">
        <v>46042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45710-2025</t>
        </is>
      </c>
      <c r="B66" s="1" t="n">
        <v>45923.4296875</v>
      </c>
      <c r="C66" s="1" t="n">
        <v>46042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46042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46042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35172-2025</t>
        </is>
      </c>
      <c r="B69" s="1" t="n">
        <v>45852.81349537037</v>
      </c>
      <c r="C69" s="1" t="n">
        <v>46042</v>
      </c>
      <c r="D69" t="inlineStr">
        <is>
          <t>VÄSTRA GÖTALANDS LÄN</t>
        </is>
      </c>
      <c r="E69" t="inlineStr">
        <is>
          <t>STENUNGSUND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46042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46042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46042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46042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46042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49621-2025</t>
        </is>
      </c>
      <c r="B75" s="1" t="n">
        <v>45939.59266203704</v>
      </c>
      <c r="C75" s="1" t="n">
        <v>46042</v>
      </c>
      <c r="D75" t="inlineStr">
        <is>
          <t>VÄSTRA GÖTALANDS LÄN</t>
        </is>
      </c>
      <c r="E75" t="inlineStr">
        <is>
          <t>STENUNGSUND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50205-2025</t>
        </is>
      </c>
      <c r="B76" s="1" t="n">
        <v>45943.65840277778</v>
      </c>
      <c r="C76" s="1" t="n">
        <v>46042</v>
      </c>
      <c r="D76" t="inlineStr">
        <is>
          <t>VÄSTRA GÖTALANDS LÄN</t>
        </is>
      </c>
      <c r="E76" t="inlineStr">
        <is>
          <t>STENUNGSUND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9282-2025</t>
        </is>
      </c>
      <c r="B77" s="1" t="n">
        <v>45714.64293981482</v>
      </c>
      <c r="C77" s="1" t="n">
        <v>46042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50491-2025</t>
        </is>
      </c>
      <c r="B78" s="1" t="n">
        <v>45945</v>
      </c>
      <c r="C78" s="1" t="n">
        <v>46042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50508-2025</t>
        </is>
      </c>
      <c r="B79" s="1" t="n">
        <v>45945.43429398148</v>
      </c>
      <c r="C79" s="1" t="n">
        <v>46042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50538-2025</t>
        </is>
      </c>
      <c r="B80" s="1" t="n">
        <v>45945.49040509259</v>
      </c>
      <c r="C80" s="1" t="n">
        <v>46042</v>
      </c>
      <c r="D80" t="inlineStr">
        <is>
          <t>VÄSTRA GÖTALANDS LÄN</t>
        </is>
      </c>
      <c r="E80" t="inlineStr">
        <is>
          <t>STENUNGSUND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50543-2025</t>
        </is>
      </c>
      <c r="B81" s="1" t="n">
        <v>45945.50262731482</v>
      </c>
      <c r="C81" s="1" t="n">
        <v>46042</v>
      </c>
      <c r="D81" t="inlineStr">
        <is>
          <t>VÄSTRA GÖTALANDS LÄN</t>
        </is>
      </c>
      <c r="E81" t="inlineStr">
        <is>
          <t>STENUNGSUND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10843-2025</t>
        </is>
      </c>
      <c r="B82" s="1" t="n">
        <v>45722.5778125</v>
      </c>
      <c r="C82" s="1" t="n">
        <v>46042</v>
      </c>
      <c r="D82" t="inlineStr">
        <is>
          <t>VÄSTRA GÖTALANDS LÄN</t>
        </is>
      </c>
      <c r="E82" t="inlineStr">
        <is>
          <t>STENUNGSUND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10849-2025</t>
        </is>
      </c>
      <c r="B83" s="1" t="n">
        <v>45722.5817824074</v>
      </c>
      <c r="C83" s="1" t="n">
        <v>46042</v>
      </c>
      <c r="D83" t="inlineStr">
        <is>
          <t>VÄSTRA GÖTALANDS LÄN</t>
        </is>
      </c>
      <c r="E83" t="inlineStr">
        <is>
          <t>STENUNGSUND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46042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14981-2025</t>
        </is>
      </c>
      <c r="B85" s="1" t="n">
        <v>45743.59576388889</v>
      </c>
      <c r="C85" s="1" t="n">
        <v>46042</v>
      </c>
      <c r="D85" t="inlineStr">
        <is>
          <t>VÄSTRA GÖTALANDS LÄN</t>
        </is>
      </c>
      <c r="E85" t="inlineStr">
        <is>
          <t>STENUNGSUND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51450-2025</t>
        </is>
      </c>
      <c r="B86" s="1" t="n">
        <v>45950</v>
      </c>
      <c r="C86" s="1" t="n">
        <v>46042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51992-2025</t>
        </is>
      </c>
      <c r="B87" s="1" t="n">
        <v>45952.58126157407</v>
      </c>
      <c r="C87" s="1" t="n">
        <v>46042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46042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46042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4578-2023</t>
        </is>
      </c>
      <c r="B90" s="1" t="n">
        <v>44951</v>
      </c>
      <c r="C90" s="1" t="n">
        <v>46042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809-2025</t>
        </is>
      </c>
      <c r="B91" s="1" t="n">
        <v>45665.5518287037</v>
      </c>
      <c r="C91" s="1" t="n">
        <v>46042</v>
      </c>
      <c r="D91" t="inlineStr">
        <is>
          <t>VÄSTRA GÖTALANDS LÄN</t>
        </is>
      </c>
      <c r="E91" t="inlineStr">
        <is>
          <t>STENUNGSUND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10472-2024</t>
        </is>
      </c>
      <c r="B92" s="1" t="n">
        <v>45366.39716435185</v>
      </c>
      <c r="C92" s="1" t="n">
        <v>46042</v>
      </c>
      <c r="D92" t="inlineStr">
        <is>
          <t>VÄSTRA GÖTALANDS LÄN</t>
        </is>
      </c>
      <c r="E92" t="inlineStr">
        <is>
          <t>STENUNGSUND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46042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46042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46042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46042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44977.63353009259</v>
      </c>
      <c r="C97" s="1" t="n">
        <v>46042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36018-2025</t>
        </is>
      </c>
      <c r="B98" s="1" t="n">
        <v>45863.66916666667</v>
      </c>
      <c r="C98" s="1" t="n">
        <v>46042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46042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46042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46042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46042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46042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2481-2026</t>
        </is>
      </c>
      <c r="B104" s="1" t="n">
        <v>46037.38494212963</v>
      </c>
      <c r="C104" s="1" t="n">
        <v>46042</v>
      </c>
      <c r="D104" t="inlineStr">
        <is>
          <t>VÄSTRA GÖTALANDS LÄN</t>
        </is>
      </c>
      <c r="E104" t="inlineStr">
        <is>
          <t>STENUNGSUND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2472-2026</t>
        </is>
      </c>
      <c r="B105" s="1" t="n">
        <v>46037.37466435185</v>
      </c>
      <c r="C105" s="1" t="n">
        <v>46042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46042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4734-2023</t>
        </is>
      </c>
      <c r="B107" s="1" t="n">
        <v>44957</v>
      </c>
      <c r="C107" s="1" t="n">
        <v>46042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</v>
      </c>
      <c r="C108" s="1" t="n">
        <v>46042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60687-2025</t>
        </is>
      </c>
      <c r="B109" s="1" t="n">
        <v>45996.5859837963</v>
      </c>
      <c r="C109" s="1" t="n">
        <v>46042</v>
      </c>
      <c r="D109" t="inlineStr">
        <is>
          <t>VÄSTRA GÖTALANDS LÄN</t>
        </is>
      </c>
      <c r="E109" t="inlineStr">
        <is>
          <t>STENUNGSUND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46042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3243-2022</t>
        </is>
      </c>
      <c r="B111" s="1" t="n">
        <v>44582</v>
      </c>
      <c r="C111" s="1" t="n">
        <v>46042</v>
      </c>
      <c r="D111" t="inlineStr">
        <is>
          <t>VÄSTRA GÖTALANDS LÄN</t>
        </is>
      </c>
      <c r="E111" t="inlineStr">
        <is>
          <t>STENUNGSUND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15535-2024</t>
        </is>
      </c>
      <c r="B112" s="1" t="n">
        <v>45401.610625</v>
      </c>
      <c r="C112" s="1" t="n">
        <v>46042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19059-2023</t>
        </is>
      </c>
      <c r="B113" s="1" t="n">
        <v>45048</v>
      </c>
      <c r="C113" s="1" t="n">
        <v>46042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34105-2024</t>
        </is>
      </c>
      <c r="B114" s="1" t="n">
        <v>45523.83888888889</v>
      </c>
      <c r="C114" s="1" t="n">
        <v>46042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15724-2025</t>
        </is>
      </c>
      <c r="B115" s="1" t="n">
        <v>45748</v>
      </c>
      <c r="C115" s="1" t="n">
        <v>46042</v>
      </c>
      <c r="D115" t="inlineStr">
        <is>
          <t>VÄSTRA GÖTALANDS LÄN</t>
        </is>
      </c>
      <c r="E115" t="inlineStr">
        <is>
          <t>STENUNGSUND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15726-2025</t>
        </is>
      </c>
      <c r="B116" s="1" t="n">
        <v>45748</v>
      </c>
      <c r="C116" s="1" t="n">
        <v>46042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19423-2025</t>
        </is>
      </c>
      <c r="B117" s="1" t="n">
        <v>45769.76158564815</v>
      </c>
      <c r="C117" s="1" t="n">
        <v>46042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19424-2025</t>
        </is>
      </c>
      <c r="B118" s="1" t="n">
        <v>45769.7637962963</v>
      </c>
      <c r="C118" s="1" t="n">
        <v>46042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34555-2024</t>
        </is>
      </c>
      <c r="B119" s="1" t="n">
        <v>45525.9071875</v>
      </c>
      <c r="C119" s="1" t="n">
        <v>46042</v>
      </c>
      <c r="D119" t="inlineStr">
        <is>
          <t>VÄSTRA GÖTALANDS LÄN</t>
        </is>
      </c>
      <c r="E119" t="inlineStr">
        <is>
          <t>STENUNGSUND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19296-2025</t>
        </is>
      </c>
      <c r="B120" s="1" t="n">
        <v>45769.5621875</v>
      </c>
      <c r="C120" s="1" t="n">
        <v>46042</v>
      </c>
      <c r="D120" t="inlineStr">
        <is>
          <t>VÄSTRA GÖTALANDS LÄN</t>
        </is>
      </c>
      <c r="E120" t="inlineStr">
        <is>
          <t>STENUNGSUND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33950-2023</t>
        </is>
      </c>
      <c r="B121" s="1" t="n">
        <v>45134</v>
      </c>
      <c r="C121" s="1" t="n">
        <v>46042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22187-2025</t>
        </is>
      </c>
      <c r="B122" s="1" t="n">
        <v>45785.62372685185</v>
      </c>
      <c r="C122" s="1" t="n">
        <v>46042</v>
      </c>
      <c r="D122" t="inlineStr">
        <is>
          <t>VÄSTRA GÖTALANDS LÄN</t>
        </is>
      </c>
      <c r="E122" t="inlineStr">
        <is>
          <t>STENUNGSUND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46042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13116-2025</t>
        </is>
      </c>
      <c r="B124" s="1" t="n">
        <v>45734.71525462963</v>
      </c>
      <c r="C124" s="1" t="n">
        <v>46042</v>
      </c>
      <c r="D124" t="inlineStr">
        <is>
          <t>VÄSTRA GÖTALANDS LÄN</t>
        </is>
      </c>
      <c r="E124" t="inlineStr">
        <is>
          <t>STENUNGSUND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12589-2025</t>
        </is>
      </c>
      <c r="B125" s="1" t="n">
        <v>45732.7803125</v>
      </c>
      <c r="C125" s="1" t="n">
        <v>46042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14906-2025</t>
        </is>
      </c>
      <c r="B126" s="1" t="n">
        <v>45743.49373842592</v>
      </c>
      <c r="C126" s="1" t="n">
        <v>46042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8961-2025</t>
        </is>
      </c>
      <c r="B127" s="1" t="n">
        <v>45713.48292824074</v>
      </c>
      <c r="C127" s="1" t="n">
        <v>46042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2026-01-20T11:01:24Z</dcterms:created>
  <dcterms:modified xmlns:dcterms="http://purl.org/dc/terms/" xmlns:xsi="http://www.w3.org/2001/XMLSchema-instance" xsi:type="dcterms:W3CDTF">2026-01-20T11:01:25Z</dcterms:modified>
</cp:coreProperties>
</file>