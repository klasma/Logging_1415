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46318</v>
      </c>
      <c r="F2" t="inlineStr">
        <is>
          <t>VÄSTRA GÖTALANDS LÄN</t>
        </is>
      </c>
      <c r="G2" t="inlineStr">
        <is>
          <t>STENUNGSUND</t>
        </is>
      </c>
      <c r="I2" t="n">
        <v>3.4</v>
      </c>
      <c r="J2" t="n">
        <v>27</v>
      </c>
      <c r="K2" t="n">
        <v>1</v>
      </c>
      <c r="L2" t="n">
        <v>10</v>
      </c>
      <c r="M2" t="n">
        <v>3</v>
      </c>
      <c r="N2" t="n">
        <v>0</v>
      </c>
      <c r="O2" t="n">
        <v>0</v>
      </c>
      <c r="P2" t="n">
        <v>0</v>
      </c>
      <c r="Q2" t="n">
        <v>13</v>
      </c>
      <c r="R2" t="n">
        <v>3</v>
      </c>
      <c r="S2" t="n">
        <v>30</v>
      </c>
      <c r="T2" t="n">
        <v>65</v>
      </c>
      <c r="U2" t="n">
        <v>45</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46318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46318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46318</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46318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46318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46318</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46318</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46318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46318</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46318</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46318</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46318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37539-2025</t>
        </is>
      </c>
      <c r="B15" t="inlineStr">
        <is>
          <t>avverkningsanmälan</t>
        </is>
      </c>
      <c r="C15" t="inlineStr">
        <is>
          <t>Föryngringsavverkning</t>
        </is>
      </c>
      <c r="D15" s="1" t="n">
        <v>45879</v>
      </c>
      <c r="E15" s="1" t="n">
        <v>46318</v>
      </c>
      <c r="F15" t="inlineStr">
        <is>
          <t>VÄSTRA GÖTALANDS LÄN</t>
        </is>
      </c>
      <c r="G15" t="inlineStr">
        <is>
          <t>STENUNGSUND</t>
        </is>
      </c>
      <c r="I15" t="n">
        <v>1.9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HYPERLINK("https://klasma.github.io/Logging_1415/artfynd/A 37539-2025 artfynd.xlsx", "A 37539-2025")</f>
        <v/>
      </c>
      <c r="X15">
        <f>HYPERLINK("https://klasma.github.io/Logging_1415/kartor/A 37539-2025 karta.png", "A 37539-2025")</f>
        <v/>
      </c>
      <c r="Y15">
        <f>HYPERLINK("https://klasma.github.io/Logging_1415/kartor_geotiff/A 37539-2025 georefererad karta.tif", "A 37539-2025")</f>
        <v/>
      </c>
      <c r="AA15">
        <f>HYPERLINK("https://klasma.github.io/Logging_1415/klagomål/A 37539-2025 FSC-klagomål.docx", "A 37539-2025")</f>
        <v/>
      </c>
      <c r="AB15">
        <f>HYPERLINK("https://klasma.github.io/Logging_1415/klagomålsmail/A 37539-2025 FSC-klagomål mail.docx", "A 37539-2025")</f>
        <v/>
      </c>
      <c r="AC15">
        <f>HYPERLINK("https://klasma.github.io/Logging_1415/tillsyn/A 37539-2025 tillsynsbegäran.docx", "A 37539-2025")</f>
        <v/>
      </c>
      <c r="AD15">
        <f>HYPERLINK("https://klasma.github.io/Logging_1415/tillsynsmail/A 37539-2025 tillsynsbegäran mail.docx", "A 37539-2025")</f>
        <v/>
      </c>
    </row>
    <row r="16" ht="15" customHeight="1">
      <c r="A16" t="inlineStr">
        <is>
          <t>A 45000-2024</t>
        </is>
      </c>
      <c r="B16" t="inlineStr">
        <is>
          <t>avverkningsanmälan</t>
        </is>
      </c>
      <c r="C16" t="inlineStr">
        <is>
          <t>Föryngringsavverkning</t>
        </is>
      </c>
      <c r="D16" s="1" t="n">
        <v>45575</v>
      </c>
      <c r="E16" s="1" t="n">
        <v>46318</v>
      </c>
      <c r="F16" t="inlineStr">
        <is>
          <t>VÄSTRA GÖTALANDS LÄN</t>
        </is>
      </c>
      <c r="G16" t="inlineStr">
        <is>
          <t>STENUNGSUND</t>
        </is>
      </c>
      <c r="I16" t="n">
        <v>1.2</v>
      </c>
      <c r="J16" t="n">
        <v>1</v>
      </c>
      <c r="K16" t="n">
        <v>0</v>
      </c>
      <c r="L16" t="n">
        <v>0</v>
      </c>
      <c r="M16" t="n">
        <v>0</v>
      </c>
      <c r="N16" t="n">
        <v>0</v>
      </c>
      <c r="O16" t="n">
        <v>0</v>
      </c>
      <c r="P16" t="n">
        <v>0</v>
      </c>
      <c r="Q16" t="n">
        <v>0</v>
      </c>
      <c r="R16" t="n">
        <v>0</v>
      </c>
      <c r="S16" t="n">
        <v>1</v>
      </c>
      <c r="T16" t="n">
        <v>1</v>
      </c>
      <c r="U16" t="n">
        <v>0</v>
      </c>
      <c r="V16" s="2" t="inlineStr">
        <is>
          <t>Mattlummer</t>
        </is>
      </c>
      <c r="W16">
        <f>HYPERLINK("https://klasma.github.io/Logging_1415/artfynd/A 45000-2024 artfynd.xlsx", "A 45000-2024")</f>
        <v/>
      </c>
      <c r="X16">
        <f>HYPERLINK("https://klasma.github.io/Logging_1415/kartor/A 45000-2024 karta.png", "A 45000-2024")</f>
        <v/>
      </c>
      <c r="Y16">
        <f>HYPERLINK("https://klasma.github.io/Logging_1415/kartor_geotiff/A 45000-2024 georefererad karta.tif", "A 45000-2024")</f>
        <v/>
      </c>
      <c r="AA16">
        <f>HYPERLINK("https://klasma.github.io/Logging_1415/klagomål/A 45000-2024 FSC-klagomål.docx", "A 45000-2024")</f>
        <v/>
      </c>
      <c r="AB16">
        <f>HYPERLINK("https://klasma.github.io/Logging_1415/klagomålsmail/A 45000-2024 FSC-klagomål mail.docx", "A 45000-2024")</f>
        <v/>
      </c>
      <c r="AC16">
        <f>HYPERLINK("https://klasma.github.io/Logging_1415/tillsyn/A 45000-2024 tillsynsbegäran.docx", "A 45000-2024")</f>
        <v/>
      </c>
      <c r="AD16">
        <f>HYPERLINK("https://klasma.github.io/Logging_1415/tillsynsmail/A 45000-2024 tillsynsbegäran mail.docx", "A 45000-2024")</f>
        <v/>
      </c>
    </row>
    <row r="17" ht="15" customHeight="1">
      <c r="A17" t="inlineStr">
        <is>
          <t>A 54611-2025</t>
        </is>
      </c>
      <c r="B17" t="inlineStr">
        <is>
          <t>avverkningsanmälan</t>
        </is>
      </c>
      <c r="C17" t="inlineStr">
        <is>
          <t>Föryngringsavverkning</t>
        </is>
      </c>
      <c r="D17" s="1" t="n">
        <v>45966</v>
      </c>
      <c r="E17" s="1" t="n">
        <v>46318</v>
      </c>
      <c r="F17" t="inlineStr">
        <is>
          <t>VÄSTRA GÖTALANDS LÄN</t>
        </is>
      </c>
      <c r="G17" t="inlineStr">
        <is>
          <t>STENUNGSUND</t>
        </is>
      </c>
      <c r="I17" t="n">
        <v>10.8</v>
      </c>
      <c r="J17" t="n">
        <v>0</v>
      </c>
      <c r="K17" t="n">
        <v>1</v>
      </c>
      <c r="L17" t="n">
        <v>0</v>
      </c>
      <c r="M17" t="n">
        <v>0</v>
      </c>
      <c r="N17" t="n">
        <v>0</v>
      </c>
      <c r="O17" t="n">
        <v>0</v>
      </c>
      <c r="P17" t="n">
        <v>0</v>
      </c>
      <c r="Q17" t="n">
        <v>0</v>
      </c>
      <c r="R17" t="n">
        <v>0</v>
      </c>
      <c r="S17" t="n">
        <v>1</v>
      </c>
      <c r="T17" t="n">
        <v>1</v>
      </c>
      <c r="U17" t="n">
        <v>1</v>
      </c>
      <c r="V17" s="2" t="inlineStr">
        <is>
          <t>Blåmossa</t>
        </is>
      </c>
      <c r="W17">
        <f>HYPERLINK("https://klasma.github.io/Logging_1415/artfynd/A 54611-2025 artfynd.xlsx", "A 54611-2025")</f>
        <v/>
      </c>
      <c r="X17">
        <f>HYPERLINK("https://klasma.github.io/Logging_1415/kartor/A 54611-2025 karta.png", "A 54611-2025")</f>
        <v/>
      </c>
      <c r="Y17">
        <f>HYPERLINK("https://klasma.github.io/Logging_1415/kartor_geotiff/A 54611-2025 georefererad karta.tif", "A 54611-2025")</f>
        <v/>
      </c>
      <c r="AA17">
        <f>HYPERLINK("https://klasma.github.io/Logging_1415/klagomål/A 54611-2025 FSC-klagomål.docx", "A 54611-2025")</f>
        <v/>
      </c>
      <c r="AB17">
        <f>HYPERLINK("https://klasma.github.io/Logging_1415/klagomålsmail/A 54611-2025 FSC-klagomål mail.docx", "A 54611-2025")</f>
        <v/>
      </c>
      <c r="AC17">
        <f>HYPERLINK("https://klasma.github.io/Logging_1415/tillsyn/A 54611-2025 tillsynsbegäran.docx", "A 54611-2025")</f>
        <v/>
      </c>
      <c r="AD17">
        <f>HYPERLINK("https://klasma.github.io/Logging_1415/tillsynsmail/A 54611-2025 tillsynsbegäran mail.docx", "A 54611-2025")</f>
        <v/>
      </c>
    </row>
    <row r="18" ht="15" customHeight="1">
      <c r="A18" t="inlineStr">
        <is>
          <t>A 12075-2022</t>
        </is>
      </c>
      <c r="B18" t="inlineStr">
        <is>
          <t>avverkningsanmälan</t>
        </is>
      </c>
      <c r="C18" t="inlineStr">
        <is>
          <t>Föryngringsavverkning</t>
        </is>
      </c>
      <c r="D18" s="1" t="n">
        <v>44636</v>
      </c>
      <c r="E18" s="1" t="n">
        <v>46318</v>
      </c>
      <c r="F18" t="inlineStr">
        <is>
          <t>VÄSTRA GÖTALANDS LÄN</t>
        </is>
      </c>
      <c r="G18" t="inlineStr">
        <is>
          <t>STENUNGSUND</t>
        </is>
      </c>
      <c r="I18" t="n">
        <v>7.5</v>
      </c>
      <c r="J18" t="n">
        <v>1</v>
      </c>
      <c r="K18" t="n">
        <v>0</v>
      </c>
      <c r="L18" t="n">
        <v>0</v>
      </c>
      <c r="M18" t="n">
        <v>1</v>
      </c>
      <c r="N18" t="n">
        <v>0</v>
      </c>
      <c r="O18" t="n">
        <v>0</v>
      </c>
      <c r="P18" t="n">
        <v>0</v>
      </c>
      <c r="Q18" t="n">
        <v>1</v>
      </c>
      <c r="R18" t="n">
        <v>1</v>
      </c>
      <c r="S18" t="n">
        <v>1</v>
      </c>
      <c r="T18" t="n">
        <v>1</v>
      </c>
      <c r="U18" t="n">
        <v>1</v>
      </c>
      <c r="V18" s="2" t="inlineStr">
        <is>
          <t>Bredgentiana</t>
        </is>
      </c>
      <c r="W18">
        <f>HYPERLINK("https://klasma.github.io/Logging_1415/artfynd/A 12075-2022 artfynd.xlsx", "A 12075-2022")</f>
        <v/>
      </c>
      <c r="X18">
        <f>HYPERLINK("https://klasma.github.io/Logging_1415/kartor/A 12075-2022 karta.png", "A 12075-2022")</f>
        <v/>
      </c>
      <c r="Y18">
        <f>HYPERLINK("https://klasma.github.io/Logging_1415/kartor_geotiff/A 12075-2022 georefererad karta.tif", "A 12075-2022")</f>
        <v/>
      </c>
      <c r="AA18">
        <f>HYPERLINK("https://klasma.github.io/Logging_1415/klagomål/A 12075-2022 FSC-klagomål.docx", "A 12075-2022")</f>
        <v/>
      </c>
      <c r="AB18">
        <f>HYPERLINK("https://klasma.github.io/Logging_1415/klagomålsmail/A 12075-2022 FSC-klagomål mail.docx", "A 12075-2022")</f>
        <v/>
      </c>
      <c r="AC18">
        <f>HYPERLINK("https://klasma.github.io/Logging_1415/tillsyn/A 12075-2022 tillsynsbegäran.docx", "A 12075-2022")</f>
        <v/>
      </c>
      <c r="AD18">
        <f>HYPERLINK("https://klasma.github.io/Logging_1415/tillsynsmail/A 12075-2022 tillsynsbegäran mail.docx", "A 12075-2022")</f>
        <v/>
      </c>
    </row>
    <row r="19" ht="15" customHeight="1">
      <c r="A19" t="inlineStr">
        <is>
          <t>A 25125-2026</t>
        </is>
      </c>
      <c r="B19" t="inlineStr">
        <is>
          <t>avverkningsanmälan</t>
        </is>
      </c>
      <c r="C19" t="inlineStr">
        <is>
          <t>Föryngringsavverkning</t>
        </is>
      </c>
      <c r="D19" s="1" t="n">
        <v>46175</v>
      </c>
      <c r="E19" s="1" t="n">
        <v>46318</v>
      </c>
      <c r="F19" t="inlineStr">
        <is>
          <t>VÄSTRA GÖTALANDS LÄN</t>
        </is>
      </c>
      <c r="G19" t="inlineStr">
        <is>
          <t>STENUNGSUND</t>
        </is>
      </c>
      <c r="I19" t="n">
        <v>3.3</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HYPERLINK("https://klasma.github.io/Logging_1415/artfynd/A 25125-2026 artfynd.xlsx", "A 25125-2026")</f>
        <v/>
      </c>
      <c r="X19">
        <f>HYPERLINK("https://klasma.github.io/Logging_1415/kartor/A 25125-2026 karta.png", "A 25125-2026")</f>
        <v/>
      </c>
      <c r="Y19">
        <f>HYPERLINK("https://klasma.github.io/Logging_1415/kartor_geotiff/A 25125-2026 georefererad karta.tif", "A 25125-2026")</f>
        <v/>
      </c>
      <c r="AA19">
        <f>HYPERLINK("https://klasma.github.io/Logging_1415/klagomål/A 25125-2026 FSC-klagomål.docx", "A 25125-2026")</f>
        <v/>
      </c>
      <c r="AB19">
        <f>HYPERLINK("https://klasma.github.io/Logging_1415/klagomålsmail/A 25125-2026 FSC-klagomål mail.docx", "A 25125-2026")</f>
        <v/>
      </c>
      <c r="AC19">
        <f>HYPERLINK("https://klasma.github.io/Logging_1415/tillsyn/A 25125-2026 tillsynsbegäran.docx", "A 25125-2026")</f>
        <v/>
      </c>
      <c r="AD19">
        <f>HYPERLINK("https://klasma.github.io/Logging_1415/tillsynsmail/A 25125-2026 tillsynsbegäran mail.docx", "A 25125-2026")</f>
        <v/>
      </c>
    </row>
    <row r="20" ht="15" customHeight="1">
      <c r="A20" t="inlineStr">
        <is>
          <t>A 4769-2026</t>
        </is>
      </c>
      <c r="B20" t="inlineStr">
        <is>
          <t>avverkningsanmälan</t>
        </is>
      </c>
      <c r="C20" t="inlineStr">
        <is>
          <t>Föryngringsavverkning</t>
        </is>
      </c>
      <c r="D20" s="1" t="n">
        <v>46048</v>
      </c>
      <c r="E20" s="1" t="n">
        <v>46318</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8576-2023</t>
        </is>
      </c>
      <c r="B21" t="inlineStr">
        <is>
          <t>avverkningsanmälan</t>
        </is>
      </c>
      <c r="C21" t="inlineStr">
        <is>
          <t>Föryngringsavverkning</t>
        </is>
      </c>
      <c r="D21" s="1" t="n">
        <v>44977</v>
      </c>
      <c r="E21" s="1" t="n">
        <v>46318</v>
      </c>
      <c r="F21" t="inlineStr">
        <is>
          <t>VÄSTRA GÖTALANDS LÄN</t>
        </is>
      </c>
      <c r="G21" t="inlineStr">
        <is>
          <t>STENUNGSUND</t>
        </is>
      </c>
      <c r="I21" t="n">
        <v>2.1</v>
      </c>
      <c r="J21" t="n">
        <v>1</v>
      </c>
      <c r="K21" t="n">
        <v>0</v>
      </c>
      <c r="L21" t="n">
        <v>0</v>
      </c>
      <c r="M21" t="n">
        <v>0</v>
      </c>
      <c r="N21" t="n">
        <v>0</v>
      </c>
      <c r="O21" t="n">
        <v>0</v>
      </c>
      <c r="P21" t="n">
        <v>0</v>
      </c>
      <c r="Q21" t="n">
        <v>0</v>
      </c>
      <c r="R21" t="n">
        <v>0</v>
      </c>
      <c r="S21" t="n">
        <v>1</v>
      </c>
      <c r="T21" t="n">
        <v>1</v>
      </c>
      <c r="U21" t="n">
        <v>1</v>
      </c>
      <c r="V21" s="2" t="inlineStr">
        <is>
          <t>Kungsfågel</t>
        </is>
      </c>
      <c r="W21">
        <f>HYPERLINK("https://klasma.github.io/Logging_1415/artfynd/A 8576-2023 artfynd.xlsx", "A 8576-2023")</f>
        <v/>
      </c>
      <c r="X21">
        <f>HYPERLINK("https://klasma.github.io/Logging_1415/kartor/A 8576-2023 karta.png", "A 8576-2023")</f>
        <v/>
      </c>
      <c r="Y21">
        <f>HYPERLINK("https://klasma.github.io/Logging_1415/kartor_geotiff/A 8576-2023 georefererad karta.tif", "A 8576-2023")</f>
        <v/>
      </c>
      <c r="AA21">
        <f>HYPERLINK("https://klasma.github.io/Logging_1415/klagomål/A 8576-2023 FSC-klagomål.docx", "A 8576-2023")</f>
        <v/>
      </c>
      <c r="AB21">
        <f>HYPERLINK("https://klasma.github.io/Logging_1415/klagomålsmail/A 8576-2023 FSC-klagomål mail.docx", "A 8576-2023")</f>
        <v/>
      </c>
      <c r="AC21">
        <f>HYPERLINK("https://klasma.github.io/Logging_1415/tillsyn/A 8576-2023 tillsynsbegäran.docx", "A 8576-2023")</f>
        <v/>
      </c>
      <c r="AD21">
        <f>HYPERLINK("https://klasma.github.io/Logging_1415/tillsynsmail/A 8576-2023 tillsynsbegäran mail.docx", "A 8576-2023")</f>
        <v/>
      </c>
    </row>
    <row r="22" ht="15" customHeight="1">
      <c r="A22" t="inlineStr">
        <is>
          <t>A 31696-2026</t>
        </is>
      </c>
      <c r="B22" t="inlineStr">
        <is>
          <t>avverkningsanmälan</t>
        </is>
      </c>
      <c r="C22" t="inlineStr">
        <is>
          <t>Föryngringsavverkning</t>
        </is>
      </c>
      <c r="D22" s="1" t="n">
        <v>46226</v>
      </c>
      <c r="E22" s="1" t="n">
        <v>46318</v>
      </c>
      <c r="F22" t="inlineStr">
        <is>
          <t>VÄSTRA GÖTALANDS LÄN</t>
        </is>
      </c>
      <c r="G22" t="inlineStr">
        <is>
          <t>STENUNGSUND</t>
        </is>
      </c>
      <c r="I22" t="n">
        <v>5.8</v>
      </c>
      <c r="J22" t="n">
        <v>0</v>
      </c>
      <c r="K22" t="n">
        <v>1</v>
      </c>
      <c r="L22" t="n">
        <v>0</v>
      </c>
      <c r="M22" t="n">
        <v>0</v>
      </c>
      <c r="N22" t="n">
        <v>0</v>
      </c>
      <c r="O22" t="n">
        <v>0</v>
      </c>
      <c r="P22" t="n">
        <v>0</v>
      </c>
      <c r="Q22" t="n">
        <v>0</v>
      </c>
      <c r="R22" t="n">
        <v>0</v>
      </c>
      <c r="S22" t="n">
        <v>1</v>
      </c>
      <c r="T22" t="n">
        <v>1</v>
      </c>
      <c r="U22" t="n">
        <v>0</v>
      </c>
      <c r="V22" s="2" t="inlineStr">
        <is>
          <t>Blanksvart trämyra</t>
        </is>
      </c>
      <c r="W22">
        <f>HYPERLINK("https://klasma.github.io/Logging_1415/artfynd/A 31696-2026 artfynd.xlsx", "A 31696-2026")</f>
        <v/>
      </c>
      <c r="X22">
        <f>HYPERLINK("https://klasma.github.io/Logging_1415/kartor/A 31696-2026 karta.png", "A 31696-2026")</f>
        <v/>
      </c>
      <c r="Y22">
        <f>HYPERLINK("https://klasma.github.io/Logging_1415/kartor_geotiff/A 31696-2026 georefererad karta.tif", "A 31696-2026")</f>
        <v/>
      </c>
      <c r="AA22">
        <f>HYPERLINK("https://klasma.github.io/Logging_1415/klagomål/A 31696-2026 FSC-klagomål.docx", "A 31696-2026")</f>
        <v/>
      </c>
      <c r="AB22">
        <f>HYPERLINK("https://klasma.github.io/Logging_1415/klagomålsmail/A 31696-2026 FSC-klagomål mail.docx", "A 31696-2026")</f>
        <v/>
      </c>
      <c r="AC22">
        <f>HYPERLINK("https://klasma.github.io/Logging_1415/tillsyn/A 31696-2026 tillsynsbegäran.docx", "A 31696-2026")</f>
        <v/>
      </c>
      <c r="AD22">
        <f>HYPERLINK("https://klasma.github.io/Logging_1415/tillsynsmail/A 31696-2026 tillsynsbegäran mail.docx", "A 31696-2026")</f>
        <v/>
      </c>
    </row>
    <row r="23" ht="15" customHeight="1">
      <c r="A23" t="inlineStr">
        <is>
          <t>A 17346-2026</t>
        </is>
      </c>
      <c r="B23" t="inlineStr">
        <is>
          <t>avverkningsanmälan</t>
        </is>
      </c>
      <c r="C23" t="inlineStr">
        <is>
          <t>Föryngringsavverkning</t>
        </is>
      </c>
      <c r="D23" s="1" t="n">
        <v>46119</v>
      </c>
      <c r="E23" s="1" t="n">
        <v>46318</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HYPERLINK("https://klasma.github.io/Logging_1415/artfynd/A 17346-2026 artfynd.xlsx", "A 17346-2026")</f>
        <v/>
      </c>
      <c r="X23">
        <f>HYPERLINK("https://klasma.github.io/Logging_1415/kartor/A 17346-2026 karta.png", "A 17346-2026")</f>
        <v/>
      </c>
      <c r="Y23">
        <f>HYPERLINK("https://klasma.github.io/Logging_1415/kartor_geotiff/A 17346-2026 georefererad karta.tif", "A 17346-2026")</f>
        <v/>
      </c>
      <c r="AA23">
        <f>HYPERLINK("https://klasma.github.io/Logging_1415/klagomål/A 17346-2026 FSC-klagomål.docx", "A 17346-2026")</f>
        <v/>
      </c>
      <c r="AB23">
        <f>HYPERLINK("https://klasma.github.io/Logging_1415/klagomålsmail/A 17346-2026 FSC-klagomål mail.docx", "A 17346-2026")</f>
        <v/>
      </c>
      <c r="AC23">
        <f>HYPERLINK("https://klasma.github.io/Logging_1415/tillsyn/A 17346-2026 tillsynsbegäran.docx", "A 17346-2026")</f>
        <v/>
      </c>
      <c r="AD23">
        <f>HYPERLINK("https://klasma.github.io/Logging_1415/tillsynsmail/A 17346-2026 tillsynsbegäran mail.docx", "A 17346-2026")</f>
        <v/>
      </c>
      <c r="AE23">
        <f>HYPERLINK("https://klasma.github.io/Logging_1415/fåglar/A 17346-2026 prioriterade fågelarter.docx", "A 17346-2026")</f>
        <v/>
      </c>
    </row>
    <row r="24" ht="15" customHeight="1">
      <c r="A24" t="inlineStr">
        <is>
          <t>A 6147-2022</t>
        </is>
      </c>
      <c r="B24" t="inlineStr">
        <is>
          <t>avverkningsanmälan</t>
        </is>
      </c>
      <c r="C24" t="inlineStr">
        <is>
          <t>Föryngringsavverkning</t>
        </is>
      </c>
      <c r="D24" s="1" t="n">
        <v>44599</v>
      </c>
      <c r="E24" s="1" t="n">
        <v>46318</v>
      </c>
      <c r="F24" t="inlineStr">
        <is>
          <t>VÄSTRA GÖTALANDS LÄN</t>
        </is>
      </c>
      <c r="G24" t="inlineStr">
        <is>
          <t>STENUNGSUND</t>
        </is>
      </c>
      <c r="I24" t="n">
        <v>2.2</v>
      </c>
      <c r="J24" t="n">
        <v>0</v>
      </c>
      <c r="K24" t="n">
        <v>0</v>
      </c>
      <c r="L24" t="n">
        <v>0</v>
      </c>
      <c r="M24" t="n">
        <v>1</v>
      </c>
      <c r="N24" t="n">
        <v>0</v>
      </c>
      <c r="O24" t="n">
        <v>0</v>
      </c>
      <c r="P24" t="n">
        <v>0</v>
      </c>
      <c r="Q24" t="n">
        <v>1</v>
      </c>
      <c r="R24" t="n">
        <v>1</v>
      </c>
      <c r="S24" t="n">
        <v>1</v>
      </c>
      <c r="T24" t="n">
        <v>1</v>
      </c>
      <c r="U24" t="n">
        <v>0</v>
      </c>
      <c r="V24" s="2" t="inlineStr">
        <is>
          <t>Brunfläckig pärlemorfjäril</t>
        </is>
      </c>
      <c r="W24">
        <f>HYPERLINK("https://klasma.github.io/Logging_1415/artfynd/A 6147-2022 artfynd.xlsx", "A 6147-2022")</f>
        <v/>
      </c>
      <c r="X24">
        <f>HYPERLINK("https://klasma.github.io/Logging_1415/kartor/A 6147-2022 karta.png", "A 6147-2022")</f>
        <v/>
      </c>
      <c r="Y24">
        <f>HYPERLINK("https://klasma.github.io/Logging_1415/kartor_geotiff/A 6147-2022 georefererad karta.tif", "A 6147-2022")</f>
        <v/>
      </c>
      <c r="AA24">
        <f>HYPERLINK("https://klasma.github.io/Logging_1415/klagomål/A 6147-2022 FSC-klagomål.docx", "A 6147-2022")</f>
        <v/>
      </c>
      <c r="AB24">
        <f>HYPERLINK("https://klasma.github.io/Logging_1415/klagomålsmail/A 6147-2022 FSC-klagomål mail.docx", "A 6147-2022")</f>
        <v/>
      </c>
      <c r="AC24">
        <f>HYPERLINK("https://klasma.github.io/Logging_1415/tillsyn/A 6147-2022 tillsynsbegäran.docx", "A 6147-2022")</f>
        <v/>
      </c>
      <c r="AD24">
        <f>HYPERLINK("https://klasma.github.io/Logging_1415/tillsynsmail/A 6147-2022 tillsynsbegäran mail.docx", "A 6147-2022")</f>
        <v/>
      </c>
    </row>
    <row r="25" ht="15" customHeight="1">
      <c r="A25" t="inlineStr">
        <is>
          <t>A 48215-2022</t>
        </is>
      </c>
      <c r="B25" t="inlineStr">
        <is>
          <t>avverkningsanmälan</t>
        </is>
      </c>
      <c r="C25" t="inlineStr">
        <is>
          <t>Föryngringsavverkning</t>
        </is>
      </c>
      <c r="D25" s="1" t="n">
        <v>44858</v>
      </c>
      <c r="E25" s="1" t="n">
        <v>46318</v>
      </c>
      <c r="F25" t="inlineStr">
        <is>
          <t>VÄSTRA GÖTALANDS LÄN</t>
        </is>
      </c>
      <c r="G25" t="inlineStr">
        <is>
          <t>STENUNGSUND</t>
        </is>
      </c>
      <c r="I25" t="n">
        <v>1.5</v>
      </c>
      <c r="J25" t="n">
        <v>0</v>
      </c>
      <c r="K25" t="n">
        <v>0</v>
      </c>
      <c r="L25" t="n">
        <v>0</v>
      </c>
      <c r="M25" t="n">
        <v>0</v>
      </c>
      <c r="N25" t="n">
        <v>0</v>
      </c>
      <c r="O25" t="n">
        <v>0</v>
      </c>
      <c r="P25" t="n">
        <v>0</v>
      </c>
      <c r="Q25" t="n">
        <v>0</v>
      </c>
      <c r="R25" t="n">
        <v>0</v>
      </c>
      <c r="S25" t="n">
        <v>0</v>
      </c>
      <c r="T25" t="n">
        <v>0</v>
      </c>
      <c r="U25" t="n">
        <v>0</v>
      </c>
      <c r="V25" s="2" t="inlineStr"/>
    </row>
    <row r="26" ht="15" customHeight="1">
      <c r="A26" t="inlineStr">
        <is>
          <t>A 7787-2022</t>
        </is>
      </c>
      <c r="B26" t="inlineStr">
        <is>
          <t>avverkningsanmälan</t>
        </is>
      </c>
      <c r="C26" t="inlineStr">
        <is>
          <t>Föryngringsavverkning</t>
        </is>
      </c>
      <c r="D26" s="1" t="n">
        <v>44608</v>
      </c>
      <c r="E26" s="1" t="n">
        <v>46318</v>
      </c>
      <c r="F26" t="inlineStr">
        <is>
          <t>VÄSTRA GÖTALANDS LÄN</t>
        </is>
      </c>
      <c r="G26" t="inlineStr">
        <is>
          <t>STENUNGSUND</t>
        </is>
      </c>
      <c r="I26" t="n">
        <v>1.7</v>
      </c>
      <c r="J26" t="n">
        <v>0</v>
      </c>
      <c r="K26" t="n">
        <v>0</v>
      </c>
      <c r="L26" t="n">
        <v>0</v>
      </c>
      <c r="M26" t="n">
        <v>0</v>
      </c>
      <c r="N26" t="n">
        <v>0</v>
      </c>
      <c r="O26" t="n">
        <v>0</v>
      </c>
      <c r="P26" t="n">
        <v>0</v>
      </c>
      <c r="Q26" t="n">
        <v>0</v>
      </c>
      <c r="R26" t="n">
        <v>0</v>
      </c>
      <c r="S26" t="n">
        <v>0</v>
      </c>
      <c r="T26" t="n">
        <v>0</v>
      </c>
      <c r="U26" t="n">
        <v>0</v>
      </c>
      <c r="V26" s="2" t="inlineStr"/>
    </row>
    <row r="27" ht="15" customHeight="1">
      <c r="A27" t="inlineStr">
        <is>
          <t>A 3244-2022</t>
        </is>
      </c>
      <c r="B27" t="inlineStr">
        <is>
          <t>avverkningsanmälan</t>
        </is>
      </c>
      <c r="C27" t="inlineStr">
        <is>
          <t>Föryngringsavverkning</t>
        </is>
      </c>
      <c r="D27" s="1" t="n">
        <v>44582</v>
      </c>
      <c r="E27" s="1" t="n">
        <v>46318</v>
      </c>
      <c r="F27" t="inlineStr">
        <is>
          <t>VÄSTRA GÖTALANDS LÄN</t>
        </is>
      </c>
      <c r="G27" t="inlineStr">
        <is>
          <t>STENUNGSUND</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62007-2021</t>
        </is>
      </c>
      <c r="B28" t="inlineStr">
        <is>
          <t>avverkningsanmälan</t>
        </is>
      </c>
      <c r="C28" t="inlineStr">
        <is>
          <t>Föryngringsavverkning</t>
        </is>
      </c>
      <c r="D28" s="1" t="n">
        <v>44502</v>
      </c>
      <c r="E28" s="1" t="n">
        <v>46318</v>
      </c>
      <c r="F28" t="inlineStr">
        <is>
          <t>VÄSTRA GÖTALANDS LÄN</t>
        </is>
      </c>
      <c r="G28" t="inlineStr">
        <is>
          <t>STENUNGSUND</t>
        </is>
      </c>
      <c r="I28" t="n">
        <v>1</v>
      </c>
      <c r="J28" t="n">
        <v>0</v>
      </c>
      <c r="K28" t="n">
        <v>0</v>
      </c>
      <c r="L28" t="n">
        <v>0</v>
      </c>
      <c r="M28" t="n">
        <v>0</v>
      </c>
      <c r="N28" t="n">
        <v>0</v>
      </c>
      <c r="O28" t="n">
        <v>0</v>
      </c>
      <c r="P28" t="n">
        <v>0</v>
      </c>
      <c r="Q28" t="n">
        <v>0</v>
      </c>
      <c r="R28" t="n">
        <v>0</v>
      </c>
      <c r="S28" t="n">
        <v>0</v>
      </c>
      <c r="T28" t="n">
        <v>0</v>
      </c>
      <c r="U28" t="n">
        <v>0</v>
      </c>
      <c r="V28" s="2" t="inlineStr"/>
    </row>
    <row r="29" ht="15" customHeight="1">
      <c r="A29" t="inlineStr">
        <is>
          <t>A 9273-2022</t>
        </is>
      </c>
      <c r="B29" t="inlineStr">
        <is>
          <t>avverkningsanmälan</t>
        </is>
      </c>
      <c r="C29" t="inlineStr">
        <is>
          <t>Föryngringsavverkning</t>
        </is>
      </c>
      <c r="D29" s="1" t="n">
        <v>44616</v>
      </c>
      <c r="E29" s="1" t="n">
        <v>46318</v>
      </c>
      <c r="F29" t="inlineStr">
        <is>
          <t>VÄSTRA GÖTALANDS LÄN</t>
        </is>
      </c>
      <c r="G29" t="inlineStr">
        <is>
          <t>STENUNGSUND</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62220-2023</t>
        </is>
      </c>
      <c r="B30" t="inlineStr">
        <is>
          <t>avverkningsanmälan</t>
        </is>
      </c>
      <c r="C30" t="inlineStr">
        <is>
          <t>Föryngringsavverkning</t>
        </is>
      </c>
      <c r="D30" s="1" t="n">
        <v>45267</v>
      </c>
      <c r="E30" s="1" t="n">
        <v>46318</v>
      </c>
      <c r="F30" t="inlineStr">
        <is>
          <t>VÄSTRA GÖTALANDS LÄN</t>
        </is>
      </c>
      <c r="G30" t="inlineStr">
        <is>
          <t>STENUNGSUND</t>
        </is>
      </c>
      <c r="I30" t="n">
        <v>7.6</v>
      </c>
      <c r="J30" t="n">
        <v>0</v>
      </c>
      <c r="K30" t="n">
        <v>0</v>
      </c>
      <c r="L30" t="n">
        <v>0</v>
      </c>
      <c r="M30" t="n">
        <v>0</v>
      </c>
      <c r="N30" t="n">
        <v>0</v>
      </c>
      <c r="O30" t="n">
        <v>0</v>
      </c>
      <c r="P30" t="n">
        <v>0</v>
      </c>
      <c r="Q30" t="n">
        <v>0</v>
      </c>
      <c r="R30" t="n">
        <v>0</v>
      </c>
      <c r="S30" t="n">
        <v>0</v>
      </c>
      <c r="T30" t="n">
        <v>0</v>
      </c>
      <c r="U30" t="n">
        <v>0</v>
      </c>
      <c r="V30" s="2" t="inlineStr"/>
    </row>
    <row r="31" ht="15" customHeight="1">
      <c r="A31" t="inlineStr">
        <is>
          <t>A 51661-2023</t>
        </is>
      </c>
      <c r="B31" t="inlineStr">
        <is>
          <t>avverkningsanmälan</t>
        </is>
      </c>
      <c r="C31" t="inlineStr">
        <is>
          <t>Föryngringsavverkning</t>
        </is>
      </c>
      <c r="D31" s="1" t="n">
        <v>45215</v>
      </c>
      <c r="E31" s="1" t="n">
        <v>46318</v>
      </c>
      <c r="F31" t="inlineStr">
        <is>
          <t>VÄSTRA GÖTALANDS LÄN</t>
        </is>
      </c>
      <c r="G31" t="inlineStr">
        <is>
          <t>STENUNGSUND</t>
        </is>
      </c>
      <c r="I31" t="n">
        <v>9.1</v>
      </c>
      <c r="J31" t="n">
        <v>0</v>
      </c>
      <c r="K31" t="n">
        <v>0</v>
      </c>
      <c r="L31" t="n">
        <v>0</v>
      </c>
      <c r="M31" t="n">
        <v>0</v>
      </c>
      <c r="N31" t="n">
        <v>0</v>
      </c>
      <c r="O31" t="n">
        <v>0</v>
      </c>
      <c r="P31" t="n">
        <v>0</v>
      </c>
      <c r="Q31" t="n">
        <v>0</v>
      </c>
      <c r="R31" t="n">
        <v>0</v>
      </c>
      <c r="S31" t="n">
        <v>0</v>
      </c>
      <c r="T31" t="n">
        <v>0</v>
      </c>
      <c r="U31" t="n">
        <v>0</v>
      </c>
      <c r="V31" s="2" t="inlineStr"/>
    </row>
    <row r="32" ht="15" customHeight="1">
      <c r="A32" t="inlineStr">
        <is>
          <t>A 23070-2022</t>
        </is>
      </c>
      <c r="B32" t="inlineStr">
        <is>
          <t>avverkningsanmälan</t>
        </is>
      </c>
      <c r="C32" t="inlineStr">
        <is>
          <t>Föryngringsavverkning</t>
        </is>
      </c>
      <c r="D32" s="1" t="n">
        <v>44719</v>
      </c>
      <c r="E32" s="1" t="n">
        <v>46318</v>
      </c>
      <c r="F32" t="inlineStr">
        <is>
          <t>VÄSTRA GÖTALANDS LÄN</t>
        </is>
      </c>
      <c r="G32" t="inlineStr">
        <is>
          <t>STENUNGSUND</t>
        </is>
      </c>
      <c r="I32" t="n">
        <v>4.1</v>
      </c>
      <c r="J32" t="n">
        <v>0</v>
      </c>
      <c r="K32" t="n">
        <v>0</v>
      </c>
      <c r="L32" t="n">
        <v>0</v>
      </c>
      <c r="M32" t="n">
        <v>0</v>
      </c>
      <c r="N32" t="n">
        <v>0</v>
      </c>
      <c r="O32" t="n">
        <v>0</v>
      </c>
      <c r="P32" t="n">
        <v>0</v>
      </c>
      <c r="Q32" t="n">
        <v>0</v>
      </c>
      <c r="R32" t="n">
        <v>0</v>
      </c>
      <c r="S32" t="n">
        <v>0</v>
      </c>
      <c r="T32" t="n">
        <v>0</v>
      </c>
      <c r="U32" t="n">
        <v>0</v>
      </c>
      <c r="V32" s="2" t="inlineStr"/>
    </row>
    <row r="33" ht="15" customHeight="1">
      <c r="A33" t="inlineStr">
        <is>
          <t>A 8684-2024</t>
        </is>
      </c>
      <c r="B33" t="inlineStr">
        <is>
          <t>avverkningsanmälan</t>
        </is>
      </c>
      <c r="C33" t="inlineStr">
        <is>
          <t>Föryngringsavverkning</t>
        </is>
      </c>
      <c r="D33" s="1" t="n">
        <v>45356</v>
      </c>
      <c r="E33" s="1" t="n">
        <v>46318</v>
      </c>
      <c r="F33" t="inlineStr">
        <is>
          <t>VÄSTRA GÖTALANDS LÄN</t>
        </is>
      </c>
      <c r="G33" t="inlineStr">
        <is>
          <t>STENUNGSUND</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60832-2024</t>
        </is>
      </c>
      <c r="B34" t="inlineStr">
        <is>
          <t>avverkningsanmälan</t>
        </is>
      </c>
      <c r="C34" t="inlineStr">
        <is>
          <t>Föryngringsavverkning</t>
        </is>
      </c>
      <c r="D34" s="1" t="n">
        <v>45644</v>
      </c>
      <c r="E34" s="1" t="n">
        <v>46318</v>
      </c>
      <c r="F34" t="inlineStr">
        <is>
          <t>VÄSTRA GÖTALANDS LÄN</t>
        </is>
      </c>
      <c r="G34" t="inlineStr">
        <is>
          <t>STENUNGSUND</t>
        </is>
      </c>
      <c r="I34" t="n">
        <v>2.8</v>
      </c>
      <c r="J34" t="n">
        <v>0</v>
      </c>
      <c r="K34" t="n">
        <v>0</v>
      </c>
      <c r="L34" t="n">
        <v>0</v>
      </c>
      <c r="M34" t="n">
        <v>0</v>
      </c>
      <c r="N34" t="n">
        <v>0</v>
      </c>
      <c r="O34" t="n">
        <v>0</v>
      </c>
      <c r="P34" t="n">
        <v>0</v>
      </c>
      <c r="Q34" t="n">
        <v>0</v>
      </c>
      <c r="R34" t="n">
        <v>0</v>
      </c>
      <c r="S34" t="n">
        <v>0</v>
      </c>
      <c r="T34" t="n">
        <v>0</v>
      </c>
      <c r="U34" t="n">
        <v>0</v>
      </c>
      <c r="V34" s="2" t="inlineStr"/>
    </row>
    <row r="35" ht="15" customHeight="1">
      <c r="A35" t="inlineStr">
        <is>
          <t>A 27030-2023</t>
        </is>
      </c>
      <c r="B35" t="inlineStr">
        <is>
          <t>avverkningsanmälan</t>
        </is>
      </c>
      <c r="C35" t="inlineStr">
        <is>
          <t>Föryngringsavverkning</t>
        </is>
      </c>
      <c r="D35" s="1" t="n">
        <v>45095</v>
      </c>
      <c r="E35" s="1" t="n">
        <v>46318</v>
      </c>
      <c r="F35" t="inlineStr">
        <is>
          <t>VÄSTRA GÖTALANDS LÄN</t>
        </is>
      </c>
      <c r="G35" t="inlineStr">
        <is>
          <t>STENUNGSUND</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48365-2024</t>
        </is>
      </c>
      <c r="B36" t="inlineStr">
        <is>
          <t>avverkningsanmälan</t>
        </is>
      </c>
      <c r="C36" t="inlineStr">
        <is>
          <t>Föryngringsavverkning</t>
        </is>
      </c>
      <c r="D36" s="1" t="n">
        <v>45590</v>
      </c>
      <c r="E36" s="1" t="n">
        <v>46318</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2412-2024</t>
        </is>
      </c>
      <c r="B37" t="inlineStr">
        <is>
          <t>avverkningsanmälan</t>
        </is>
      </c>
      <c r="C37" t="inlineStr">
        <is>
          <t>Föryngringsavverkning</t>
        </is>
      </c>
      <c r="D37" s="1" t="n">
        <v>45310</v>
      </c>
      <c r="E37" s="1" t="n">
        <v>46318</v>
      </c>
      <c r="F37" t="inlineStr">
        <is>
          <t>VÄSTRA GÖTALANDS LÄN</t>
        </is>
      </c>
      <c r="G37" t="inlineStr">
        <is>
          <t>STENUNGSUND</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3243-2022</t>
        </is>
      </c>
      <c r="B38" t="inlineStr">
        <is>
          <t>avverkningsanmälan</t>
        </is>
      </c>
      <c r="C38" t="inlineStr">
        <is>
          <t>Föryngringsavverkning</t>
        </is>
      </c>
      <c r="D38" s="1" t="n">
        <v>44582</v>
      </c>
      <c r="E38" s="1" t="n">
        <v>46318</v>
      </c>
      <c r="F38" t="inlineStr">
        <is>
          <t>VÄSTRA GÖTALANDS LÄN</t>
        </is>
      </c>
      <c r="G38" t="inlineStr">
        <is>
          <t>STENUNGSUND</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15535-2024</t>
        </is>
      </c>
      <c r="B39" t="inlineStr">
        <is>
          <t>avverkningsanmälan</t>
        </is>
      </c>
      <c r="C39" t="inlineStr">
        <is>
          <t>Föryngringsavverkning</t>
        </is>
      </c>
      <c r="D39" s="1" t="n">
        <v>45401</v>
      </c>
      <c r="E39" s="1" t="n">
        <v>46318</v>
      </c>
      <c r="F39" t="inlineStr">
        <is>
          <t>VÄSTRA GÖTALANDS LÄN</t>
        </is>
      </c>
      <c r="G39" t="inlineStr">
        <is>
          <t>STENUNGSUND</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9893-2025</t>
        </is>
      </c>
      <c r="B40" t="inlineStr">
        <is>
          <t>avverkningsanmälan</t>
        </is>
      </c>
      <c r="C40" t="inlineStr">
        <is>
          <t>Föryngringsavverkning</t>
        </is>
      </c>
      <c r="D40" s="1" t="n">
        <v>45716</v>
      </c>
      <c r="E40" s="1" t="n">
        <v>46318</v>
      </c>
      <c r="F40" t="inlineStr">
        <is>
          <t>VÄSTRA GÖTALANDS LÄN</t>
        </is>
      </c>
      <c r="G40" t="inlineStr">
        <is>
          <t>STENUNGSUND</t>
        </is>
      </c>
      <c r="I40" t="n">
        <v>3.2</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46318</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38996-2025</t>
        </is>
      </c>
      <c r="B42" t="inlineStr">
        <is>
          <t>avverkningsanmälan</t>
        </is>
      </c>
      <c r="C42" t="inlineStr">
        <is>
          <t>Föryngringsavverkning</t>
        </is>
      </c>
      <c r="D42" s="1" t="n">
        <v>45888</v>
      </c>
      <c r="E42" s="1" t="n">
        <v>46318</v>
      </c>
      <c r="F42" t="inlineStr">
        <is>
          <t>VÄSTRA GÖTALANDS LÄN</t>
        </is>
      </c>
      <c r="G42" t="inlineStr">
        <is>
          <t>STENUNGSUND</t>
        </is>
      </c>
      <c r="I42" t="n">
        <v>2.3</v>
      </c>
      <c r="J42" t="n">
        <v>0</v>
      </c>
      <c r="K42" t="n">
        <v>0</v>
      </c>
      <c r="L42" t="n">
        <v>0</v>
      </c>
      <c r="M42" t="n">
        <v>0</v>
      </c>
      <c r="N42" t="n">
        <v>0</v>
      </c>
      <c r="O42" t="n">
        <v>0</v>
      </c>
      <c r="P42" t="n">
        <v>0</v>
      </c>
      <c r="Q42" t="n">
        <v>0</v>
      </c>
      <c r="R42" t="n">
        <v>0</v>
      </c>
      <c r="S42" t="n">
        <v>0</v>
      </c>
      <c r="T42" t="n">
        <v>0</v>
      </c>
      <c r="U42" t="n">
        <v>0</v>
      </c>
      <c r="V42" s="2" t="inlineStr"/>
    </row>
    <row r="43" ht="15" customHeight="1">
      <c r="A43" t="inlineStr">
        <is>
          <t>A 38994-2025</t>
        </is>
      </c>
      <c r="B43" t="inlineStr">
        <is>
          <t>avverkningsanmälan</t>
        </is>
      </c>
      <c r="C43" t="inlineStr">
        <is>
          <t>Föryngringsavverkning</t>
        </is>
      </c>
      <c r="D43" s="1" t="n">
        <v>45888</v>
      </c>
      <c r="E43" s="1" t="n">
        <v>46318</v>
      </c>
      <c r="F43" t="inlineStr">
        <is>
          <t>VÄSTRA GÖTALANDS LÄN</t>
        </is>
      </c>
      <c r="G43" t="inlineStr">
        <is>
          <t>STENUNGSUND</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35172-2025</t>
        </is>
      </c>
      <c r="B44" t="inlineStr">
        <is>
          <t>avverkningsanmälan</t>
        </is>
      </c>
      <c r="C44" t="inlineStr">
        <is>
          <t>Föryngringsavverkning</t>
        </is>
      </c>
      <c r="D44" s="1" t="n">
        <v>45852</v>
      </c>
      <c r="E44" s="1" t="n">
        <v>46318</v>
      </c>
      <c r="F44" t="inlineStr">
        <is>
          <t>VÄSTRA GÖTALANDS LÄN</t>
        </is>
      </c>
      <c r="G44" t="inlineStr">
        <is>
          <t>STENUNGSUND</t>
        </is>
      </c>
      <c r="I44" t="n">
        <v>4.5</v>
      </c>
      <c r="J44" t="n">
        <v>0</v>
      </c>
      <c r="K44" t="n">
        <v>0</v>
      </c>
      <c r="L44" t="n">
        <v>0</v>
      </c>
      <c r="M44" t="n">
        <v>0</v>
      </c>
      <c r="N44" t="n">
        <v>0</v>
      </c>
      <c r="O44" t="n">
        <v>0</v>
      </c>
      <c r="P44" t="n">
        <v>0</v>
      </c>
      <c r="Q44" t="n">
        <v>0</v>
      </c>
      <c r="R44" t="n">
        <v>0</v>
      </c>
      <c r="S44" t="n">
        <v>0</v>
      </c>
      <c r="T44" t="n">
        <v>0</v>
      </c>
      <c r="U44" t="n">
        <v>0</v>
      </c>
      <c r="V44" s="2" t="inlineStr"/>
    </row>
    <row r="45" ht="15" customHeight="1">
      <c r="A45" t="inlineStr">
        <is>
          <t>A 19059-2023</t>
        </is>
      </c>
      <c r="B45" t="inlineStr">
        <is>
          <t>avverkningsanmälan</t>
        </is>
      </c>
      <c r="C45" t="inlineStr">
        <is>
          <t>Föryngringsavverkning</t>
        </is>
      </c>
      <c r="D45" s="1" t="n">
        <v>45048</v>
      </c>
      <c r="E45" s="1" t="n">
        <v>46318</v>
      </c>
      <c r="F45" t="inlineStr">
        <is>
          <t>VÄSTRA GÖTALANDS LÄN</t>
        </is>
      </c>
      <c r="G45" t="inlineStr">
        <is>
          <t>STENUNGSUND</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23762-2024</t>
        </is>
      </c>
      <c r="B46" t="inlineStr">
        <is>
          <t>avverkningsanmälan</t>
        </is>
      </c>
      <c r="C46" t="inlineStr">
        <is>
          <t>Föryngringsavverkning</t>
        </is>
      </c>
      <c r="D46" s="1" t="n">
        <v>45455</v>
      </c>
      <c r="E46" s="1" t="n">
        <v>46318</v>
      </c>
      <c r="F46" t="inlineStr">
        <is>
          <t>VÄSTRA GÖTALANDS LÄN</t>
        </is>
      </c>
      <c r="G46" t="inlineStr">
        <is>
          <t>STENUNGSUND</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42791-2025</t>
        </is>
      </c>
      <c r="B47" t="inlineStr">
        <is>
          <t>avverkningsanmälan</t>
        </is>
      </c>
      <c r="C47" t="inlineStr">
        <is>
          <t>Föryngringsavverkning</t>
        </is>
      </c>
      <c r="D47" s="1" t="n">
        <v>45908</v>
      </c>
      <c r="E47" s="1" t="n">
        <v>46318</v>
      </c>
      <c r="F47" t="inlineStr">
        <is>
          <t>VÄSTRA GÖTALANDS LÄN</t>
        </is>
      </c>
      <c r="G47" t="inlineStr">
        <is>
          <t>STENUNGSUND</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9282-2025</t>
        </is>
      </c>
      <c r="B48" t="inlineStr">
        <is>
          <t>avverkningsanmälan</t>
        </is>
      </c>
      <c r="C48" t="inlineStr">
        <is>
          <t>Föryngringsavverkning</t>
        </is>
      </c>
      <c r="D48" s="1" t="n">
        <v>45714</v>
      </c>
      <c r="E48" s="1" t="n">
        <v>46318</v>
      </c>
      <c r="F48" t="inlineStr">
        <is>
          <t>VÄSTRA GÖTALANDS LÄN</t>
        </is>
      </c>
      <c r="G48" t="inlineStr">
        <is>
          <t>STENUNGSUND</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14981-2025</t>
        </is>
      </c>
      <c r="B49" t="inlineStr">
        <is>
          <t>avverkningsanmälan</t>
        </is>
      </c>
      <c r="C49" t="inlineStr">
        <is>
          <t>Föryngringsavverkning</t>
        </is>
      </c>
      <c r="D49" s="1" t="n">
        <v>45743</v>
      </c>
      <c r="E49" s="1" t="n">
        <v>46318</v>
      </c>
      <c r="F49" t="inlineStr">
        <is>
          <t>VÄSTRA GÖTALANDS LÄN</t>
        </is>
      </c>
      <c r="G49" t="inlineStr">
        <is>
          <t>STENUNGSUND</t>
        </is>
      </c>
      <c r="I49" t="n">
        <v>4.8</v>
      </c>
      <c r="J49" t="n">
        <v>0</v>
      </c>
      <c r="K49" t="n">
        <v>0</v>
      </c>
      <c r="L49" t="n">
        <v>0</v>
      </c>
      <c r="M49" t="n">
        <v>0</v>
      </c>
      <c r="N49" t="n">
        <v>0</v>
      </c>
      <c r="O49" t="n">
        <v>0</v>
      </c>
      <c r="P49" t="n">
        <v>0</v>
      </c>
      <c r="Q49" t="n">
        <v>0</v>
      </c>
      <c r="R49" t="n">
        <v>0</v>
      </c>
      <c r="S49" t="n">
        <v>0</v>
      </c>
      <c r="T49" t="n">
        <v>0</v>
      </c>
      <c r="U49" t="n">
        <v>0</v>
      </c>
      <c r="V49" s="2" t="inlineStr"/>
    </row>
    <row r="50" ht="15" customHeight="1">
      <c r="A50" t="inlineStr">
        <is>
          <t>A 57768-2024</t>
        </is>
      </c>
      <c r="B50" t="inlineStr">
        <is>
          <t>avverkningsanmälan</t>
        </is>
      </c>
      <c r="C50" t="inlineStr">
        <is>
          <t>Föryngringsavverkning</t>
        </is>
      </c>
      <c r="D50" s="1" t="n">
        <v>45630</v>
      </c>
      <c r="E50" s="1" t="n">
        <v>46318</v>
      </c>
      <c r="F50" t="inlineStr">
        <is>
          <t>VÄSTRA GÖTALANDS LÄN</t>
        </is>
      </c>
      <c r="G50" t="inlineStr">
        <is>
          <t>STENUNGSUND</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57766-2024</t>
        </is>
      </c>
      <c r="B51" t="inlineStr">
        <is>
          <t>avverkningsanmälan</t>
        </is>
      </c>
      <c r="C51" t="inlineStr">
        <is>
          <t>Föryngringsavverkning</t>
        </is>
      </c>
      <c r="D51" s="1" t="n">
        <v>45630</v>
      </c>
      <c r="E51" s="1" t="n">
        <v>46318</v>
      </c>
      <c r="F51" t="inlineStr">
        <is>
          <t>VÄSTRA GÖTALANDS LÄN</t>
        </is>
      </c>
      <c r="G51" t="inlineStr">
        <is>
          <t>STENUNGSUND</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57767-2024</t>
        </is>
      </c>
      <c r="B52" t="inlineStr">
        <is>
          <t>avverkningsanmälan</t>
        </is>
      </c>
      <c r="C52" t="inlineStr">
        <is>
          <t>Föryngringsavverkning</t>
        </is>
      </c>
      <c r="D52" s="1" t="n">
        <v>45630</v>
      </c>
      <c r="E52" s="1" t="n">
        <v>46318</v>
      </c>
      <c r="F52" t="inlineStr">
        <is>
          <t>VÄSTRA GÖTALANDS LÄN</t>
        </is>
      </c>
      <c r="G52" t="inlineStr">
        <is>
          <t>STENUNGSUND</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57769-2024</t>
        </is>
      </c>
      <c r="B53" t="inlineStr">
        <is>
          <t>avverkningsanmälan</t>
        </is>
      </c>
      <c r="C53" t="inlineStr">
        <is>
          <t>Föryngringsavverkning</t>
        </is>
      </c>
      <c r="D53" s="1" t="n">
        <v>45630</v>
      </c>
      <c r="E53" s="1" t="n">
        <v>46318</v>
      </c>
      <c r="F53" t="inlineStr">
        <is>
          <t>VÄSTRA GÖTALANDS LÄN</t>
        </is>
      </c>
      <c r="G53" t="inlineStr">
        <is>
          <t>STENUNGSUND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22728-2025</t>
        </is>
      </c>
      <c r="B54" t="inlineStr">
        <is>
          <t>avverkningsanmälan</t>
        </is>
      </c>
      <c r="C54" t="inlineStr">
        <is>
          <t>Föryngringsavverkning</t>
        </is>
      </c>
      <c r="D54" s="1" t="n">
        <v>45789</v>
      </c>
      <c r="E54" s="1" t="n">
        <v>46318</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60550-2023</t>
        </is>
      </c>
      <c r="B55" t="inlineStr">
        <is>
          <t>avverkningsanmälan</t>
        </is>
      </c>
      <c r="C55" t="inlineStr">
        <is>
          <t>Föryngringsavverkning</t>
        </is>
      </c>
      <c r="D55" s="1" t="n">
        <v>45259</v>
      </c>
      <c r="E55" s="1" t="n">
        <v>46318</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50205-2025</t>
        </is>
      </c>
      <c r="B56" t="inlineStr">
        <is>
          <t>avverkningsanmälan</t>
        </is>
      </c>
      <c r="C56" t="inlineStr">
        <is>
          <t>Föryngringsavverkning</t>
        </is>
      </c>
      <c r="D56" s="1" t="n">
        <v>45943</v>
      </c>
      <c r="E56" s="1" t="n">
        <v>46318</v>
      </c>
      <c r="F56" t="inlineStr">
        <is>
          <t>VÄSTRA GÖTALANDS LÄN</t>
        </is>
      </c>
      <c r="G56" t="inlineStr">
        <is>
          <t>STENUNGSUND</t>
        </is>
      </c>
      <c r="I56" t="n">
        <v>3.6</v>
      </c>
      <c r="J56" t="n">
        <v>0</v>
      </c>
      <c r="K56" t="n">
        <v>0</v>
      </c>
      <c r="L56" t="n">
        <v>0</v>
      </c>
      <c r="M56" t="n">
        <v>0</v>
      </c>
      <c r="N56" t="n">
        <v>0</v>
      </c>
      <c r="O56" t="n">
        <v>0</v>
      </c>
      <c r="P56" t="n">
        <v>0</v>
      </c>
      <c r="Q56" t="n">
        <v>0</v>
      </c>
      <c r="R56" t="n">
        <v>0</v>
      </c>
      <c r="S56" t="n">
        <v>0</v>
      </c>
      <c r="T56" t="n">
        <v>0</v>
      </c>
      <c r="U56" t="n">
        <v>0</v>
      </c>
      <c r="V56" s="2" t="inlineStr"/>
    </row>
    <row r="57" ht="15" customHeight="1">
      <c r="A57" t="inlineStr">
        <is>
          <t>A 50538-2025</t>
        </is>
      </c>
      <c r="B57" t="inlineStr">
        <is>
          <t>avverkningsanmälan</t>
        </is>
      </c>
      <c r="C57" t="inlineStr">
        <is>
          <t>Föryngringsavverkning</t>
        </is>
      </c>
      <c r="D57" s="1" t="n">
        <v>45945</v>
      </c>
      <c r="E57" s="1" t="n">
        <v>46318</v>
      </c>
      <c r="F57" t="inlineStr">
        <is>
          <t>VÄSTRA GÖTALANDS LÄN</t>
        </is>
      </c>
      <c r="G57" t="inlineStr">
        <is>
          <t>STENUNGSUND</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50543-2025</t>
        </is>
      </c>
      <c r="B58" t="inlineStr">
        <is>
          <t>avverkningsanmälan</t>
        </is>
      </c>
      <c r="C58" t="inlineStr">
        <is>
          <t>Föryngringsavverkning</t>
        </is>
      </c>
      <c r="D58" s="1" t="n">
        <v>45945</v>
      </c>
      <c r="E58" s="1" t="n">
        <v>46318</v>
      </c>
      <c r="F58" t="inlineStr">
        <is>
          <t>VÄSTRA GÖTALANDS LÄN</t>
        </is>
      </c>
      <c r="G58" t="inlineStr">
        <is>
          <t>STENUNGSUND</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52012-2025</t>
        </is>
      </c>
      <c r="B59" t="inlineStr">
        <is>
          <t>avverkningsanmälan</t>
        </is>
      </c>
      <c r="C59" t="inlineStr">
        <is>
          <t>Föryngringsavverkning</t>
        </is>
      </c>
      <c r="D59" s="1" t="n">
        <v>45952</v>
      </c>
      <c r="E59" s="1" t="n">
        <v>46318</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54247-2025</t>
        </is>
      </c>
      <c r="B60" t="inlineStr">
        <is>
          <t>avverkningsanmälan</t>
        </is>
      </c>
      <c r="C60" t="inlineStr">
        <is>
          <t>Föryngringsavverkning</t>
        </is>
      </c>
      <c r="D60" s="1" t="n">
        <v>45964</v>
      </c>
      <c r="E60" s="1" t="n">
        <v>46318</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15726-2025</t>
        </is>
      </c>
      <c r="B61" t="inlineStr">
        <is>
          <t>avverkningsanmälan</t>
        </is>
      </c>
      <c r="C61" t="inlineStr">
        <is>
          <t>Föryngringsavverkning</t>
        </is>
      </c>
      <c r="D61" s="1" t="n">
        <v>45748</v>
      </c>
      <c r="E61" s="1" t="n">
        <v>46318</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36018-2025</t>
        </is>
      </c>
      <c r="B62" t="inlineStr">
        <is>
          <t>avverkningsanmälan</t>
        </is>
      </c>
      <c r="C62" t="inlineStr">
        <is>
          <t>Föryngringsavverkning</t>
        </is>
      </c>
      <c r="D62" s="1" t="n">
        <v>45863</v>
      </c>
      <c r="E62" s="1" t="n">
        <v>46318</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60687-2025</t>
        </is>
      </c>
      <c r="B63" t="inlineStr">
        <is>
          <t>avverkningsanmälan</t>
        </is>
      </c>
      <c r="C63" t="inlineStr">
        <is>
          <t>Föryngringsavverkning</t>
        </is>
      </c>
      <c r="D63" s="1" t="n">
        <v>45996</v>
      </c>
      <c r="E63" s="1" t="n">
        <v>46318</v>
      </c>
      <c r="F63" t="inlineStr">
        <is>
          <t>VÄSTRA GÖTALANDS LÄN</t>
        </is>
      </c>
      <c r="G63" t="inlineStr">
        <is>
          <t>STENUNGSUND</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23115-2026</t>
        </is>
      </c>
      <c r="B64" t="inlineStr">
        <is>
          <t>avverkningsanmälan</t>
        </is>
      </c>
      <c r="C64" t="inlineStr">
        <is>
          <t>Föryngringsavverkning</t>
        </is>
      </c>
      <c r="D64" s="1" t="n">
        <v>46161</v>
      </c>
      <c r="E64" s="1" t="n">
        <v>46318</v>
      </c>
      <c r="F64" t="inlineStr">
        <is>
          <t>VÄSTRA GÖTALANDS LÄN</t>
        </is>
      </c>
      <c r="G64" t="inlineStr">
        <is>
          <t>STENUNGSUND</t>
        </is>
      </c>
      <c r="I64" t="n">
        <v>5.9</v>
      </c>
      <c r="J64" t="n">
        <v>0</v>
      </c>
      <c r="K64" t="n">
        <v>0</v>
      </c>
      <c r="L64" t="n">
        <v>0</v>
      </c>
      <c r="M64" t="n">
        <v>0</v>
      </c>
      <c r="N64" t="n">
        <v>0</v>
      </c>
      <c r="O64" t="n">
        <v>0</v>
      </c>
      <c r="P64" t="n">
        <v>0</v>
      </c>
      <c r="Q64" t="n">
        <v>0</v>
      </c>
      <c r="R64" t="n">
        <v>0</v>
      </c>
      <c r="S64" t="n">
        <v>0</v>
      </c>
      <c r="T64" t="n">
        <v>0</v>
      </c>
      <c r="U64" t="n">
        <v>0</v>
      </c>
      <c r="V64" s="2" t="inlineStr"/>
    </row>
    <row r="65" ht="15" customHeight="1">
      <c r="A65" t="inlineStr">
        <is>
          <t>A 34555-2024</t>
        </is>
      </c>
      <c r="B65" t="inlineStr">
        <is>
          <t>avverkningsanmälan</t>
        </is>
      </c>
      <c r="C65" t="inlineStr">
        <is>
          <t>Föryngringsavverkning</t>
        </is>
      </c>
      <c r="D65" s="1" t="n">
        <v>45525</v>
      </c>
      <c r="E65" s="1" t="n">
        <v>46318</v>
      </c>
      <c r="F65" t="inlineStr">
        <is>
          <t>VÄSTRA GÖTALANDS LÄN</t>
        </is>
      </c>
      <c r="G65" t="inlineStr">
        <is>
          <t>STENUNGSUND</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19709-2026</t>
        </is>
      </c>
      <c r="B66" t="inlineStr">
        <is>
          <t>avverkningsanmälan</t>
        </is>
      </c>
      <c r="C66" t="inlineStr">
        <is>
          <t>Föryngringsavverkning</t>
        </is>
      </c>
      <c r="D66" s="1" t="n">
        <v>46134</v>
      </c>
      <c r="E66" s="1" t="n">
        <v>46318</v>
      </c>
      <c r="F66" t="inlineStr">
        <is>
          <t>VÄSTRA GÖTALANDS LÄN</t>
        </is>
      </c>
      <c r="G66" t="inlineStr">
        <is>
          <t>STENUNGSUND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2472-2026</t>
        </is>
      </c>
      <c r="B67" t="inlineStr">
        <is>
          <t>avverkningsanmälan</t>
        </is>
      </c>
      <c r="C67" t="inlineStr">
        <is>
          <t>Föryngringsavverkning</t>
        </is>
      </c>
      <c r="D67" s="1" t="n">
        <v>46037</v>
      </c>
      <c r="E67" s="1" t="n">
        <v>46318</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2481-2026</t>
        </is>
      </c>
      <c r="B68" t="inlineStr">
        <is>
          <t>avverkningsanmälan</t>
        </is>
      </c>
      <c r="C68" t="inlineStr">
        <is>
          <t>Föryngringsavverkning</t>
        </is>
      </c>
      <c r="D68" s="1" t="n">
        <v>46037</v>
      </c>
      <c r="E68" s="1" t="n">
        <v>46318</v>
      </c>
      <c r="F68" t="inlineStr">
        <is>
          <t>VÄSTRA GÖTALANDS LÄN</t>
        </is>
      </c>
      <c r="G68" t="inlineStr">
        <is>
          <t>STENUNGSUND</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33950-2023</t>
        </is>
      </c>
      <c r="B69" t="inlineStr">
        <is>
          <t>avverkningsanmälan</t>
        </is>
      </c>
      <c r="C69" t="inlineStr">
        <is>
          <t>Föryngringsavverkning</t>
        </is>
      </c>
      <c r="D69" s="1" t="n">
        <v>45134</v>
      </c>
      <c r="E69" s="1" t="n">
        <v>46318</v>
      </c>
      <c r="F69" t="inlineStr">
        <is>
          <t>VÄSTRA GÖTALANDS LÄN</t>
        </is>
      </c>
      <c r="G69" t="inlineStr">
        <is>
          <t>STENUNGSUND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11362-2025</t>
        </is>
      </c>
      <c r="B70" t="inlineStr">
        <is>
          <t>avverkningsanmälan</t>
        </is>
      </c>
      <c r="C70" t="inlineStr">
        <is>
          <t>Föryngringsavverkning</t>
        </is>
      </c>
      <c r="D70" s="1" t="n">
        <v>45726</v>
      </c>
      <c r="E70" s="1" t="n">
        <v>46318</v>
      </c>
      <c r="F70" t="inlineStr">
        <is>
          <t>VÄSTRA GÖTALANDS LÄN</t>
        </is>
      </c>
      <c r="G70" t="inlineStr">
        <is>
          <t>STENUNGSUND</t>
        </is>
      </c>
      <c r="I70" t="n">
        <v>6.4</v>
      </c>
      <c r="J70" t="n">
        <v>0</v>
      </c>
      <c r="K70" t="n">
        <v>0</v>
      </c>
      <c r="L70" t="n">
        <v>0</v>
      </c>
      <c r="M70" t="n">
        <v>0</v>
      </c>
      <c r="N70" t="n">
        <v>0</v>
      </c>
      <c r="O70" t="n">
        <v>0</v>
      </c>
      <c r="P70" t="n">
        <v>0</v>
      </c>
      <c r="Q70" t="n">
        <v>0</v>
      </c>
      <c r="R70" t="n">
        <v>0</v>
      </c>
      <c r="S70" t="n">
        <v>0</v>
      </c>
      <c r="T70" t="n">
        <v>0</v>
      </c>
      <c r="U70" t="n">
        <v>0</v>
      </c>
      <c r="V70" s="2" t="inlineStr"/>
    </row>
    <row r="71" ht="15" customHeight="1">
      <c r="A71" t="inlineStr">
        <is>
          <t>A 26654-2026</t>
        </is>
      </c>
      <c r="B71" t="inlineStr">
        <is>
          <t>avverkningsanmälan</t>
        </is>
      </c>
      <c r="C71" t="inlineStr">
        <is>
          <t>Föryngringsavverkning</t>
        </is>
      </c>
      <c r="D71" s="1" t="n">
        <v>46184</v>
      </c>
      <c r="E71" s="1" t="n">
        <v>46318</v>
      </c>
      <c r="F71" t="inlineStr">
        <is>
          <t>VÄSTRA GÖTALANDS LÄN</t>
        </is>
      </c>
      <c r="G71" t="inlineStr">
        <is>
          <t>STENUNGSUND</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3570-2023</t>
        </is>
      </c>
      <c r="B72" t="inlineStr">
        <is>
          <t>avverkningsanmälan</t>
        </is>
      </c>
      <c r="C72" t="inlineStr">
        <is>
          <t>Föryngringsavverkning</t>
        </is>
      </c>
      <c r="D72" s="1" t="n">
        <v>44950</v>
      </c>
      <c r="E72" s="1" t="n">
        <v>46318</v>
      </c>
      <c r="F72" t="inlineStr">
        <is>
          <t>VÄSTRA GÖTALANDS LÄN</t>
        </is>
      </c>
      <c r="G72" t="inlineStr">
        <is>
          <t>STENUNGSUND</t>
        </is>
      </c>
      <c r="I72" t="n">
        <v>4.1</v>
      </c>
      <c r="J72" t="n">
        <v>0</v>
      </c>
      <c r="K72" t="n">
        <v>0</v>
      </c>
      <c r="L72" t="n">
        <v>0</v>
      </c>
      <c r="M72" t="n">
        <v>0</v>
      </c>
      <c r="N72" t="n">
        <v>0</v>
      </c>
      <c r="O72" t="n">
        <v>0</v>
      </c>
      <c r="P72" t="n">
        <v>0</v>
      </c>
      <c r="Q72" t="n">
        <v>0</v>
      </c>
      <c r="R72" t="n">
        <v>0</v>
      </c>
      <c r="S72" t="n">
        <v>0</v>
      </c>
      <c r="T72" t="n">
        <v>0</v>
      </c>
      <c r="U72" t="n">
        <v>0</v>
      </c>
      <c r="V72" s="2" t="inlineStr"/>
    </row>
    <row r="73" ht="15" customHeight="1">
      <c r="A73" t="inlineStr">
        <is>
          <t>A 28665-2026</t>
        </is>
      </c>
      <c r="B73" t="inlineStr">
        <is>
          <t>avverkningsanmälan</t>
        </is>
      </c>
      <c r="C73" t="inlineStr">
        <is>
          <t>Föryngringsavverkning</t>
        </is>
      </c>
      <c r="D73" s="1" t="n">
        <v>46191</v>
      </c>
      <c r="E73" s="1" t="n">
        <v>46318</v>
      </c>
      <c r="F73" t="inlineStr">
        <is>
          <t>VÄSTRA GÖTALANDS LÄN</t>
        </is>
      </c>
      <c r="G73" t="inlineStr">
        <is>
          <t>STENUNGSUND</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48895-2023</t>
        </is>
      </c>
      <c r="B74" t="inlineStr">
        <is>
          <t>avverkningsanmälan</t>
        </is>
      </c>
      <c r="C74" t="inlineStr">
        <is>
          <t>Föryngringsavverkning</t>
        </is>
      </c>
      <c r="D74" s="1" t="n">
        <v>45209</v>
      </c>
      <c r="E74" s="1" t="n">
        <v>46318</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32960-2023</t>
        </is>
      </c>
      <c r="B75" t="inlineStr">
        <is>
          <t>avverkningsanmälan</t>
        </is>
      </c>
      <c r="C75" t="inlineStr">
        <is>
          <t>Avverkning för annat ändamål</t>
        </is>
      </c>
      <c r="D75" s="1" t="n">
        <v>45125</v>
      </c>
      <c r="E75" s="1" t="n">
        <v>46318</v>
      </c>
      <c r="F75" t="inlineStr">
        <is>
          <t>VÄSTRA GÖTALANDS LÄN</t>
        </is>
      </c>
      <c r="G75" t="inlineStr">
        <is>
          <t>STENUNGSUND</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72944-2021</t>
        </is>
      </c>
      <c r="B76" t="inlineStr">
        <is>
          <t>avverkningsanmälan</t>
        </is>
      </c>
      <c r="C76" t="inlineStr">
        <is>
          <t>Föryngringsavverkning</t>
        </is>
      </c>
      <c r="D76" s="1" t="n">
        <v>44547</v>
      </c>
      <c r="E76" s="1" t="n">
        <v>46318</v>
      </c>
      <c r="F76" t="inlineStr">
        <is>
          <t>VÄSTRA GÖTALANDS LÄN</t>
        </is>
      </c>
      <c r="G76" t="inlineStr">
        <is>
          <t>STENUNGSUND</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24211-2025</t>
        </is>
      </c>
      <c r="B77" t="inlineStr">
        <is>
          <t>avverkningsanmälan</t>
        </is>
      </c>
      <c r="C77" t="inlineStr">
        <is>
          <t>Föryngringsavverkning</t>
        </is>
      </c>
      <c r="D77" s="1" t="n">
        <v>45797</v>
      </c>
      <c r="E77" s="1" t="n">
        <v>46318</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43627-2026</t>
        </is>
      </c>
      <c r="B78" t="inlineStr">
        <is>
          <t>avverkningsanmälan</t>
        </is>
      </c>
      <c r="C78" t="inlineStr">
        <is>
          <t>Föryngringsavverkning</t>
        </is>
      </c>
      <c r="D78" s="1" t="n">
        <v>46315</v>
      </c>
      <c r="E78" s="1" t="n">
        <v>46318</v>
      </c>
      <c r="F78" t="inlineStr">
        <is>
          <t>VÄSTRA GÖTALANDS LÄN</t>
        </is>
      </c>
      <c r="G78" t="inlineStr">
        <is>
          <t>STENUNGSUND</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30170-2026</t>
        </is>
      </c>
      <c r="B79" t="inlineStr">
        <is>
          <t>avverkningsanmälan</t>
        </is>
      </c>
      <c r="C79" t="inlineStr">
        <is>
          <t>Föryngringsavverkning</t>
        </is>
      </c>
      <c r="D79" s="1" t="n">
        <v>46206</v>
      </c>
      <c r="E79" s="1" t="n">
        <v>46318</v>
      </c>
      <c r="F79" t="inlineStr">
        <is>
          <t>VÄSTRA GÖTALANDS LÄN</t>
        </is>
      </c>
      <c r="G79" t="inlineStr">
        <is>
          <t>STENUNGSUND</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17362-2026</t>
        </is>
      </c>
      <c r="B80" t="inlineStr">
        <is>
          <t>avverkningsanmälan</t>
        </is>
      </c>
      <c r="C80" t="inlineStr">
        <is>
          <t>Föryngringsavverkning</t>
        </is>
      </c>
      <c r="D80" s="1" t="n">
        <v>46119</v>
      </c>
      <c r="E80" s="1" t="n">
        <v>46318</v>
      </c>
      <c r="F80" t="inlineStr">
        <is>
          <t>VÄSTRA GÖTALANDS LÄN</t>
        </is>
      </c>
      <c r="G80" t="inlineStr">
        <is>
          <t>STENUNGSUND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18016-2026</t>
        </is>
      </c>
      <c r="B81" t="inlineStr">
        <is>
          <t>avverkningsanmälan</t>
        </is>
      </c>
      <c r="C81" t="inlineStr">
        <is>
          <t>Föryngringsavverkning</t>
        </is>
      </c>
      <c r="D81" s="1" t="n">
        <v>46125</v>
      </c>
      <c r="E81" s="1" t="n">
        <v>46318</v>
      </c>
      <c r="F81" t="inlineStr">
        <is>
          <t>VÄSTRA GÖTALANDS LÄN</t>
        </is>
      </c>
      <c r="G81" t="inlineStr">
        <is>
          <t>STENUNGSUND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33010-2022</t>
        </is>
      </c>
      <c r="B82" t="inlineStr">
        <is>
          <t>avverkningsanmälan</t>
        </is>
      </c>
      <c r="C82" t="inlineStr">
        <is>
          <t>Föryngringsavverkning</t>
        </is>
      </c>
      <c r="D82" s="1" t="n">
        <v>44785</v>
      </c>
      <c r="E82" s="1" t="n">
        <v>46318</v>
      </c>
      <c r="F82" t="inlineStr">
        <is>
          <t>VÄSTRA GÖTALANDS LÄN</t>
        </is>
      </c>
      <c r="G82" t="inlineStr">
        <is>
          <t>STENUNGSUND</t>
        </is>
      </c>
      <c r="I82" t="n">
        <v>3.4</v>
      </c>
      <c r="J82" t="n">
        <v>0</v>
      </c>
      <c r="K82" t="n">
        <v>0</v>
      </c>
      <c r="L82" t="n">
        <v>0</v>
      </c>
      <c r="M82" t="n">
        <v>0</v>
      </c>
      <c r="N82" t="n">
        <v>0</v>
      </c>
      <c r="O82" t="n">
        <v>0</v>
      </c>
      <c r="P82" t="n">
        <v>0</v>
      </c>
      <c r="Q82" t="n">
        <v>0</v>
      </c>
      <c r="R82" t="n">
        <v>0</v>
      </c>
      <c r="S82" t="n">
        <v>0</v>
      </c>
      <c r="T82" t="n">
        <v>0</v>
      </c>
      <c r="U82" t="n">
        <v>0</v>
      </c>
      <c r="V82" s="2" t="inlineStr"/>
    </row>
    <row r="83" ht="15" customHeight="1">
      <c r="A83" t="inlineStr">
        <is>
          <t>A 33011-2022</t>
        </is>
      </c>
      <c r="B83" t="inlineStr">
        <is>
          <t>avverkningsanmälan</t>
        </is>
      </c>
      <c r="C83" t="inlineStr">
        <is>
          <t>Föryngringsavverkning</t>
        </is>
      </c>
      <c r="D83" s="1" t="n">
        <v>44785</v>
      </c>
      <c r="E83" s="1" t="n">
        <v>46318</v>
      </c>
      <c r="F83" t="inlineStr">
        <is>
          <t>VÄSTRA GÖTALANDS LÄN</t>
        </is>
      </c>
      <c r="G83" t="inlineStr">
        <is>
          <t>STENUNGSUND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3569-2023</t>
        </is>
      </c>
      <c r="B84" t="inlineStr">
        <is>
          <t>avverkningsanmälan</t>
        </is>
      </c>
      <c r="C84" t="inlineStr">
        <is>
          <t>Föryngringsavverkning</t>
        </is>
      </c>
      <c r="D84" s="1" t="n">
        <v>44950</v>
      </c>
      <c r="E84" s="1" t="n">
        <v>46318</v>
      </c>
      <c r="F84" t="inlineStr">
        <is>
          <t>VÄSTRA GÖTALANDS LÄN</t>
        </is>
      </c>
      <c r="G84" t="inlineStr">
        <is>
          <t>STENUNGSUND</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8948-2022</t>
        </is>
      </c>
      <c r="B85" t="inlineStr">
        <is>
          <t>avverkningsanmälan</t>
        </is>
      </c>
      <c r="C85" t="inlineStr">
        <is>
          <t>Avverkning för annat ändamål</t>
        </is>
      </c>
      <c r="D85" s="1" t="n">
        <v>44614</v>
      </c>
      <c r="E85" s="1" t="n">
        <v>46318</v>
      </c>
      <c r="F85" t="inlineStr">
        <is>
          <t>VÄSTRA GÖTALANDS LÄN</t>
        </is>
      </c>
      <c r="G85" t="inlineStr">
        <is>
          <t>STENUNGSUND</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32997-2025</t>
        </is>
      </c>
      <c r="B86" t="inlineStr">
        <is>
          <t>avverkningsanmälan</t>
        </is>
      </c>
      <c r="C86" t="inlineStr">
        <is>
          <t>Föryngringsavverkning</t>
        </is>
      </c>
      <c r="D86" s="1" t="n">
        <v>45840</v>
      </c>
      <c r="E86" s="1" t="n">
        <v>46318</v>
      </c>
      <c r="F86" t="inlineStr">
        <is>
          <t>VÄSTRA GÖTALANDS LÄN</t>
        </is>
      </c>
      <c r="G86" t="inlineStr">
        <is>
          <t>STENUNGSUND</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8544-2023</t>
        </is>
      </c>
      <c r="B87" t="inlineStr">
        <is>
          <t>avverkningsanmälan</t>
        </is>
      </c>
      <c r="C87" t="inlineStr">
        <is>
          <t>Föryngringsavverkning</t>
        </is>
      </c>
      <c r="D87" s="1" t="n">
        <v>44977</v>
      </c>
      <c r="E87" s="1" t="n">
        <v>46318</v>
      </c>
      <c r="F87" t="inlineStr">
        <is>
          <t>VÄSTRA GÖTALANDS LÄN</t>
        </is>
      </c>
      <c r="G87" t="inlineStr">
        <is>
          <t>STENUNGSUND</t>
        </is>
      </c>
      <c r="I87" t="n">
        <v>8.199999999999999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30175-2022</t>
        </is>
      </c>
      <c r="B88" t="inlineStr">
        <is>
          <t>avverkningsanmälan</t>
        </is>
      </c>
      <c r="C88" t="inlineStr">
        <is>
          <t>Föryngringsavverkning</t>
        </is>
      </c>
      <c r="D88" s="1" t="n">
        <v>44757</v>
      </c>
      <c r="E88" s="1" t="n">
        <v>46318</v>
      </c>
      <c r="F88" t="inlineStr">
        <is>
          <t>VÄSTRA GÖTALANDS LÄN</t>
        </is>
      </c>
      <c r="G88" t="inlineStr">
        <is>
          <t>STENUNGSUND</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40950-2023</t>
        </is>
      </c>
      <c r="B89" t="inlineStr">
        <is>
          <t>avverkningsanmälan</t>
        </is>
      </c>
      <c r="C89" t="inlineStr">
        <is>
          <t>Föryngringsavverkning</t>
        </is>
      </c>
      <c r="D89" s="1" t="n">
        <v>45173</v>
      </c>
      <c r="E89" s="1" t="n">
        <v>46318</v>
      </c>
      <c r="F89" t="inlineStr">
        <is>
          <t>VÄSTRA GÖTALANDS LÄN</t>
        </is>
      </c>
      <c r="G89" t="inlineStr">
        <is>
          <t>STENUNGSUND</t>
        </is>
      </c>
      <c r="I89" t="n">
        <v>6.3</v>
      </c>
      <c r="J89" t="n">
        <v>0</v>
      </c>
      <c r="K89" t="n">
        <v>0</v>
      </c>
      <c r="L89" t="n">
        <v>0</v>
      </c>
      <c r="M89" t="n">
        <v>0</v>
      </c>
      <c r="N89" t="n">
        <v>0</v>
      </c>
      <c r="O89" t="n">
        <v>0</v>
      </c>
      <c r="P89" t="n">
        <v>0</v>
      </c>
      <c r="Q89" t="n">
        <v>0</v>
      </c>
      <c r="R89" t="n">
        <v>0</v>
      </c>
      <c r="S89" t="n">
        <v>0</v>
      </c>
      <c r="T89" t="n">
        <v>0</v>
      </c>
      <c r="U89" t="n">
        <v>0</v>
      </c>
      <c r="V89" s="2" t="inlineStr"/>
    </row>
    <row r="90" ht="15" customHeight="1">
      <c r="A90" t="inlineStr">
        <is>
          <t>A 38641-2026</t>
        </is>
      </c>
      <c r="B90" t="inlineStr">
        <is>
          <t>avverkningsanmälan</t>
        </is>
      </c>
      <c r="C90" t="inlineStr">
        <is>
          <t>Föryngringsavverkning</t>
        </is>
      </c>
      <c r="D90" s="1" t="n">
        <v>46283</v>
      </c>
      <c r="E90" s="1" t="n">
        <v>46318</v>
      </c>
      <c r="F90" t="inlineStr">
        <is>
          <t>VÄSTRA GÖTALANDS LÄN</t>
        </is>
      </c>
      <c r="G90" t="inlineStr">
        <is>
          <t>STENUNGSUND</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39682-2026</t>
        </is>
      </c>
      <c r="B91" t="inlineStr">
        <is>
          <t>avverkningsanmälan</t>
        </is>
      </c>
      <c r="C91" t="inlineStr">
        <is>
          <t>Föryngringsavverkning</t>
        </is>
      </c>
      <c r="D91" s="1" t="n">
        <v>46289</v>
      </c>
      <c r="E91" s="1" t="n">
        <v>46318</v>
      </c>
      <c r="F91" t="inlineStr">
        <is>
          <t>VÄSTRA GÖTALANDS LÄN</t>
        </is>
      </c>
      <c r="G91" t="inlineStr">
        <is>
          <t>STENUNGSUND</t>
        </is>
      </c>
      <c r="I91" t="n">
        <v>8.699999999999999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6913-2024</t>
        </is>
      </c>
      <c r="B92" t="inlineStr">
        <is>
          <t>avverkningsanmälan</t>
        </is>
      </c>
      <c r="C92" t="inlineStr">
        <is>
          <t>Föryngringsavverkning</t>
        </is>
      </c>
      <c r="D92" s="1" t="n">
        <v>45343</v>
      </c>
      <c r="E92" s="1" t="n">
        <v>46318</v>
      </c>
      <c r="F92" t="inlineStr">
        <is>
          <t>VÄSTRA GÖTALANDS LÄN</t>
        </is>
      </c>
      <c r="G92" t="inlineStr">
        <is>
          <t>STENUNGSUND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4578-2023</t>
        </is>
      </c>
      <c r="B93" t="inlineStr">
        <is>
          <t>avverkningsanmälan</t>
        </is>
      </c>
      <c r="C93" t="inlineStr">
        <is>
          <t>Föryngringsavverkning</t>
        </is>
      </c>
      <c r="D93" s="1" t="n">
        <v>44951</v>
      </c>
      <c r="E93" s="1" t="n">
        <v>46318</v>
      </c>
      <c r="F93" t="inlineStr">
        <is>
          <t>VÄSTRA GÖTALANDS LÄN</t>
        </is>
      </c>
      <c r="G93" t="inlineStr">
        <is>
          <t>STENUNGSUND</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32931-2026</t>
        </is>
      </c>
      <c r="B94" t="inlineStr">
        <is>
          <t>avverkningsanmälan</t>
        </is>
      </c>
      <c r="C94" t="inlineStr">
        <is>
          <t>Föryngringsavverkning</t>
        </is>
      </c>
      <c r="D94" s="1" t="n">
        <v>46244</v>
      </c>
      <c r="E94" s="1" t="n">
        <v>46318</v>
      </c>
      <c r="F94" t="inlineStr">
        <is>
          <t>VÄSTRA GÖTALANDS LÄN</t>
        </is>
      </c>
      <c r="G94" t="inlineStr">
        <is>
          <t>STENUNGSUND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809-2025</t>
        </is>
      </c>
      <c r="B95" t="inlineStr">
        <is>
          <t>avverkningsanmälan</t>
        </is>
      </c>
      <c r="C95" t="inlineStr">
        <is>
          <t>Föryngringsavverkning</t>
        </is>
      </c>
      <c r="D95" s="1" t="n">
        <v>45665</v>
      </c>
      <c r="E95" s="1" t="n">
        <v>46318</v>
      </c>
      <c r="F95" t="inlineStr">
        <is>
          <t>VÄSTRA GÖTALANDS LÄN</t>
        </is>
      </c>
      <c r="G95" t="inlineStr">
        <is>
          <t>STENUNGSUND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10472-2024</t>
        </is>
      </c>
      <c r="B96" t="inlineStr">
        <is>
          <t>avverkningsanmälan</t>
        </is>
      </c>
      <c r="C96" t="inlineStr">
        <is>
          <t>Föryngringsavverkning</t>
        </is>
      </c>
      <c r="D96" s="1" t="n">
        <v>45366</v>
      </c>
      <c r="E96" s="1" t="n">
        <v>46318</v>
      </c>
      <c r="F96" t="inlineStr">
        <is>
          <t>VÄSTRA GÖTALANDS LÄN</t>
        </is>
      </c>
      <c r="G96" t="inlineStr">
        <is>
          <t>STENUNGSUND</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6699-2022</t>
        </is>
      </c>
      <c r="B97" t="inlineStr">
        <is>
          <t>avverkningsanmälan</t>
        </is>
      </c>
      <c r="C97" t="inlineStr">
        <is>
          <t>Avverkning för annat ändamål</t>
        </is>
      </c>
      <c r="D97" s="1" t="n">
        <v>44602</v>
      </c>
      <c r="E97" s="1" t="n">
        <v>46318</v>
      </c>
      <c r="F97" t="inlineStr">
        <is>
          <t>VÄSTRA GÖTALANDS LÄN</t>
        </is>
      </c>
      <c r="G97" t="inlineStr">
        <is>
          <t>STENUNGSUND</t>
        </is>
      </c>
      <c r="I97" t="n">
        <v>10</v>
      </c>
      <c r="J97" t="n">
        <v>0</v>
      </c>
      <c r="K97" t="n">
        <v>0</v>
      </c>
      <c r="L97" t="n">
        <v>0</v>
      </c>
      <c r="M97" t="n">
        <v>0</v>
      </c>
      <c r="N97" t="n">
        <v>0</v>
      </c>
      <c r="O97" t="n">
        <v>0</v>
      </c>
      <c r="P97" t="n">
        <v>0</v>
      </c>
      <c r="Q97" t="n">
        <v>0</v>
      </c>
      <c r="R97" t="n">
        <v>0</v>
      </c>
      <c r="S97" t="n">
        <v>0</v>
      </c>
      <c r="T97" t="n">
        <v>0</v>
      </c>
      <c r="U97" t="n">
        <v>0</v>
      </c>
      <c r="V97" s="2" t="inlineStr"/>
    </row>
    <row r="98" ht="15" customHeight="1">
      <c r="A98" t="inlineStr">
        <is>
          <t>A 34253-2023</t>
        </is>
      </c>
      <c r="B98" t="inlineStr">
        <is>
          <t>avverkningsanmälan</t>
        </is>
      </c>
      <c r="C98" t="inlineStr">
        <is>
          <t>Föryngringsavverkning</t>
        </is>
      </c>
      <c r="D98" s="1" t="n">
        <v>45138</v>
      </c>
      <c r="E98" s="1" t="n">
        <v>46318</v>
      </c>
      <c r="F98" t="inlineStr">
        <is>
          <t>VÄSTRA GÖTALANDS LÄN</t>
        </is>
      </c>
      <c r="G98" t="inlineStr">
        <is>
          <t>STENUNGSUND</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64992-2023</t>
        </is>
      </c>
      <c r="B99" t="inlineStr">
        <is>
          <t>avverkningsanmälan</t>
        </is>
      </c>
      <c r="C99" t="inlineStr">
        <is>
          <t>Föryngringsavverkning</t>
        </is>
      </c>
      <c r="D99" s="1" t="n">
        <v>45286</v>
      </c>
      <c r="E99" s="1" t="n">
        <v>46318</v>
      </c>
      <c r="F99" t="inlineStr">
        <is>
          <t>VÄSTRA GÖTALANDS LÄN</t>
        </is>
      </c>
      <c r="G99" t="inlineStr">
        <is>
          <t>STENUNGSUND</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41848-2026</t>
        </is>
      </c>
      <c r="B100" t="inlineStr">
        <is>
          <t>avverkningsanmälan</t>
        </is>
      </c>
      <c r="C100" t="inlineStr">
        <is>
          <t>Föryngringsavverkning</t>
        </is>
      </c>
      <c r="D100" s="1" t="n">
        <v>46303</v>
      </c>
      <c r="E100" s="1" t="n">
        <v>46318</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8567-2023</t>
        </is>
      </c>
      <c r="B101" t="inlineStr">
        <is>
          <t>avverkningsanmälan</t>
        </is>
      </c>
      <c r="C101" t="inlineStr">
        <is>
          <t>Föryngringsavverkning</t>
        </is>
      </c>
      <c r="D101" s="1" t="n">
        <v>44977</v>
      </c>
      <c r="E101" s="1" t="n">
        <v>46318</v>
      </c>
      <c r="F101" t="inlineStr">
        <is>
          <t>VÄSTRA GÖTALANDS LÄN</t>
        </is>
      </c>
      <c r="G101" t="inlineStr">
        <is>
          <t>STENUNGSUND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42592-2026</t>
        </is>
      </c>
      <c r="B102" t="inlineStr">
        <is>
          <t>avverkningsanmälan</t>
        </is>
      </c>
      <c r="C102" t="inlineStr">
        <is>
          <t>Föryngringsavverkning</t>
        </is>
      </c>
      <c r="D102" s="1" t="n">
        <v>46308</v>
      </c>
      <c r="E102" s="1" t="n">
        <v>46318</v>
      </c>
      <c r="F102" t="inlineStr">
        <is>
          <t>VÄSTRA GÖTALANDS LÄN</t>
        </is>
      </c>
      <c r="G102" t="inlineStr">
        <is>
          <t>STENUNGSUND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60158-2024</t>
        </is>
      </c>
      <c r="B103" t="inlineStr">
        <is>
          <t>avverkningsanmälan</t>
        </is>
      </c>
      <c r="C103" t="inlineStr">
        <is>
          <t>Föryngringsavverkning</t>
        </is>
      </c>
      <c r="D103" s="1" t="n">
        <v>45642</v>
      </c>
      <c r="E103" s="1" t="n">
        <v>46318</v>
      </c>
      <c r="F103" t="inlineStr">
        <is>
          <t>VÄSTRA GÖTALANDS LÄN</t>
        </is>
      </c>
      <c r="G103" t="inlineStr">
        <is>
          <t>STENUNGSUND</t>
        </is>
      </c>
      <c r="I103" t="n">
        <v>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54931-2024</t>
        </is>
      </c>
      <c r="B104" t="inlineStr">
        <is>
          <t>avverkningsanmälan</t>
        </is>
      </c>
      <c r="C104" t="inlineStr">
        <is>
          <t>Föryngringsavverkning</t>
        </is>
      </c>
      <c r="D104" s="1" t="n">
        <v>45618</v>
      </c>
      <c r="E104" s="1" t="n">
        <v>46318</v>
      </c>
      <c r="F104" t="inlineStr">
        <is>
          <t>VÄSTRA GÖTALANDS LÄN</t>
        </is>
      </c>
      <c r="G104" t="inlineStr">
        <is>
          <t>STENUNGSUND</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19302-2025</t>
        </is>
      </c>
      <c r="B105" t="inlineStr">
        <is>
          <t>avverkningsanmälan</t>
        </is>
      </c>
      <c r="C105" t="inlineStr">
        <is>
          <t>Föryngringsavverkning</t>
        </is>
      </c>
      <c r="D105" s="1" t="n">
        <v>45769</v>
      </c>
      <c r="E105" s="1" t="n">
        <v>46318</v>
      </c>
      <c r="F105" t="inlineStr">
        <is>
          <t>VÄSTRA GÖTALANDS LÄN</t>
        </is>
      </c>
      <c r="G105" t="inlineStr">
        <is>
          <t>STENUNGSUND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51367-2024</t>
        </is>
      </c>
      <c r="B106" t="inlineStr">
        <is>
          <t>avverkningsanmälan</t>
        </is>
      </c>
      <c r="C106" t="inlineStr">
        <is>
          <t>Föryngringsavverkning</t>
        </is>
      </c>
      <c r="D106" s="1" t="n">
        <v>45604</v>
      </c>
      <c r="E106" s="1" t="n">
        <v>46318</v>
      </c>
      <c r="F106" t="inlineStr">
        <is>
          <t>VÄSTRA GÖTALANDS LÄN</t>
        </is>
      </c>
      <c r="G106" t="inlineStr">
        <is>
          <t>STENUNGSUND</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4734-2023</t>
        </is>
      </c>
      <c r="B107" t="inlineStr">
        <is>
          <t>avverkningsanmälan</t>
        </is>
      </c>
      <c r="C107" t="inlineStr">
        <is>
          <t>Föryngringsavverkning</t>
        </is>
      </c>
      <c r="D107" s="1" t="n">
        <v>44957</v>
      </c>
      <c r="E107" s="1" t="n">
        <v>46318</v>
      </c>
      <c r="F107" t="inlineStr">
        <is>
          <t>VÄSTRA GÖTALANDS LÄN</t>
        </is>
      </c>
      <c r="G107" t="inlineStr">
        <is>
          <t>STENUNGSUND</t>
        </is>
      </c>
      <c r="I107" t="n">
        <v>1.1</v>
      </c>
      <c r="J107" t="n">
        <v>0</v>
      </c>
      <c r="K107" t="n">
        <v>0</v>
      </c>
      <c r="L107" t="n">
        <v>0</v>
      </c>
      <c r="M107" t="n">
        <v>0</v>
      </c>
      <c r="N107" t="n">
        <v>0</v>
      </c>
      <c r="O107" t="n">
        <v>0</v>
      </c>
      <c r="P107" t="n">
        <v>0</v>
      </c>
      <c r="Q107" t="n">
        <v>0</v>
      </c>
      <c r="R107" t="n">
        <v>0</v>
      </c>
      <c r="S107" t="n">
        <v>0</v>
      </c>
      <c r="T107" t="n">
        <v>0</v>
      </c>
      <c r="U107" t="n">
        <v>0</v>
      </c>
      <c r="V107" s="2" t="inlineStr"/>
    </row>
    <row r="108">
      <c r="A108" t="inlineStr">
        <is>
          <t>S 478-2022</t>
        </is>
      </c>
      <c r="B108" t="inlineStr">
        <is>
          <t>samrådsanmälan</t>
        </is>
      </c>
      <c r="C108" t="inlineStr">
        <is>
          <t>Skogsbilväg</t>
        </is>
      </c>
      <c r="D108" s="1" t="n">
        <v>44587</v>
      </c>
      <c r="E108" s="1" t="n">
        <v>46318</v>
      </c>
      <c r="F108" t="inlineStr">
        <is>
          <t>VÄSTRA GÖTALANDS LÄN</t>
        </is>
      </c>
      <c r="G108" t="inlineStr">
        <is>
          <t>STENUNGSUND</t>
        </is>
      </c>
      <c r="I108" t="n">
        <v>1.6</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2026-10-23T02:03:36Z</dcterms:created>
  <dcterms:modified xmlns:dcterms="http://purl.org/dc/terms/" xmlns:xsi="http://www.w3.org/2001/XMLSchema-instance" xsi:type="dcterms:W3CDTF">2026-10-23T02:03:36Z</dcterms:modified>
</cp:coreProperties>
</file>