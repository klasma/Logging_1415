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13912-2025</t>
        </is>
      </c>
      <c r="B5" s="1" t="n">
        <v>45737</v>
      </c>
      <c r="C5" s="1" t="n">
        <v>46119</v>
      </c>
      <c r="D5" t="inlineStr">
        <is>
          <t>VÄSTRA GÖTALANDS LÄN</t>
        </is>
      </c>
      <c r="E5" t="inlineStr">
        <is>
          <t>STENUNGSUND</t>
        </is>
      </c>
      <c r="G5" t="n">
        <v>6.4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Blåmossa
Tjäder</t>
        </is>
      </c>
      <c r="S5">
        <f>HYPERLINK("https://klasma.github.io/Logging_1415/artfynd/A 13912-2025 artfynd.xlsx", "A 13912-2025")</f>
        <v/>
      </c>
      <c r="T5">
        <f>HYPERLINK("https://klasma.github.io/Logging_1415/kartor/A 13912-2025 karta.png", "A 13912-2025")</f>
        <v/>
      </c>
      <c r="V5">
        <f>HYPERLINK("https://klasma.github.io/Logging_1415/klagomål/A 13912-2025 FSC-klagomål.docx", "A 13912-2025")</f>
        <v/>
      </c>
      <c r="W5">
        <f>HYPERLINK("https://klasma.github.io/Logging_1415/klagomålsmail/A 13912-2025 FSC-klagomål mail.docx", "A 13912-2025")</f>
        <v/>
      </c>
      <c r="X5">
        <f>HYPERLINK("https://klasma.github.io/Logging_1415/tillsyn/A 13912-2025 tillsynsbegäran.docx", "A 13912-2025")</f>
        <v/>
      </c>
      <c r="Y5">
        <f>HYPERLINK("https://klasma.github.io/Logging_1415/tillsynsmail/A 13912-2025 tillsynsbegäran mail.docx", "A 13912-2025")</f>
        <v/>
      </c>
      <c r="Z5">
        <f>HYPERLINK("https://klasma.github.io/Logging_1415/fåglar/A 13912-2025 prioriterade fågelarter.docx", "A 13912-2025")</f>
        <v/>
      </c>
    </row>
    <row r="6" ht="15" customHeight="1">
      <c r="A6" t="inlineStr">
        <is>
          <t>A 11235-2025</t>
        </is>
      </c>
      <c r="B6" s="1" t="n">
        <v>45726.36305555556</v>
      </c>
      <c r="C6" s="1" t="n">
        <v>46119</v>
      </c>
      <c r="D6" t="inlineStr">
        <is>
          <t>VÄSTRA GÖTALANDS LÄN</t>
        </is>
      </c>
      <c r="E6" t="inlineStr">
        <is>
          <t>STENUNGSUND</t>
        </is>
      </c>
      <c r="G6" t="n">
        <v>4.5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Fällmossa
Klippfrullania
Revlummer</t>
        </is>
      </c>
      <c r="S6">
        <f>HYPERLINK("https://klasma.github.io/Logging_1415/artfynd/A 11235-2025 artfynd.xlsx", "A 11235-2025")</f>
        <v/>
      </c>
      <c r="T6">
        <f>HYPERLINK("https://klasma.github.io/Logging_1415/kartor/A 11235-2025 karta.png", "A 11235-2025")</f>
        <v/>
      </c>
      <c r="V6">
        <f>HYPERLINK("https://klasma.github.io/Logging_1415/klagomål/A 11235-2025 FSC-klagomål.docx", "A 11235-2025")</f>
        <v/>
      </c>
      <c r="W6">
        <f>HYPERLINK("https://klasma.github.io/Logging_1415/klagomålsmail/A 11235-2025 FSC-klagomål mail.docx", "A 11235-2025")</f>
        <v/>
      </c>
      <c r="X6">
        <f>HYPERLINK("https://klasma.github.io/Logging_1415/tillsyn/A 11235-2025 tillsynsbegäran.docx", "A 11235-2025")</f>
        <v/>
      </c>
      <c r="Y6">
        <f>HYPERLINK("https://klasma.github.io/Logging_1415/tillsynsmail/A 11235-2025 tillsynsbegäran mail.docx", "A 11235-2025")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46119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46119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46119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46119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46119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46119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46119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46119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46119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46119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46119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46119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46119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46119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46119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46119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46119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46119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46119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46119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46119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46119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46119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46119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46119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46119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23762-2024</t>
        </is>
      </c>
      <c r="B38" s="1" t="n">
        <v>45455.36590277778</v>
      </c>
      <c r="C38" s="1" t="n">
        <v>46119</v>
      </c>
      <c r="D38" t="inlineStr">
        <is>
          <t>VÄSTRA GÖTALANDS LÄN</t>
        </is>
      </c>
      <c r="E38" t="inlineStr">
        <is>
          <t>STENUNGSUND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13586-2024</t>
        </is>
      </c>
      <c r="B39" s="1" t="n">
        <v>45389.85628472222</v>
      </c>
      <c r="C39" s="1" t="n">
        <v>46119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24807-2023</t>
        </is>
      </c>
      <c r="B40" s="1" t="n">
        <v>45084</v>
      </c>
      <c r="C40" s="1" t="n">
        <v>46119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8576-2023</t>
        </is>
      </c>
      <c r="B41" s="1" t="n">
        <v>44977</v>
      </c>
      <c r="C41" s="1" t="n">
        <v>46119</v>
      </c>
      <c r="D41" t="inlineStr">
        <is>
          <t>VÄSTRA GÖTALANDS LÄN</t>
        </is>
      </c>
      <c r="E41" t="inlineStr">
        <is>
          <t>STENUNGSUND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18591-2021</t>
        </is>
      </c>
      <c r="B42" s="1" t="n">
        <v>44306</v>
      </c>
      <c r="C42" s="1" t="n">
        <v>46119</v>
      </c>
      <c r="D42" t="inlineStr">
        <is>
          <t>VÄSTRA GÖTALANDS LÄN</t>
        </is>
      </c>
      <c r="E42" t="inlineStr">
        <is>
          <t>STENUNGSUND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3570-2023</t>
        </is>
      </c>
      <c r="B43" s="1" t="n">
        <v>44950.49107638889</v>
      </c>
      <c r="C43" s="1" t="n">
        <v>46119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72944-2021</t>
        </is>
      </c>
      <c r="B44" s="1" t="n">
        <v>44547.87140046297</v>
      </c>
      <c r="C44" s="1" t="n">
        <v>46119</v>
      </c>
      <c r="D44" t="inlineStr">
        <is>
          <t>VÄSTRA GÖTALANDS LÄN</t>
        </is>
      </c>
      <c r="E44" t="inlineStr">
        <is>
          <t>STENUNGSUND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33010-2022</t>
        </is>
      </c>
      <c r="B45" s="1" t="n">
        <v>44785</v>
      </c>
      <c r="C45" s="1" t="n">
        <v>46119</v>
      </c>
      <c r="D45" t="inlineStr">
        <is>
          <t>VÄSTRA GÖTALANDS LÄN</t>
        </is>
      </c>
      <c r="E45" t="inlineStr">
        <is>
          <t>STENUNGSUND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46119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3569-2023</t>
        </is>
      </c>
      <c r="B47" s="1" t="n">
        <v>44950.48391203704</v>
      </c>
      <c r="C47" s="1" t="n">
        <v>46119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8948-2022</t>
        </is>
      </c>
      <c r="B48" s="1" t="n">
        <v>44614</v>
      </c>
      <c r="C48" s="1" t="n">
        <v>46119</v>
      </c>
      <c r="D48" t="inlineStr">
        <is>
          <t>VÄSTRA GÖTALANDS LÄN</t>
        </is>
      </c>
      <c r="E48" t="inlineStr">
        <is>
          <t>STENUNGSUND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35172-2025</t>
        </is>
      </c>
      <c r="B49" s="1" t="n">
        <v>45852.81349537037</v>
      </c>
      <c r="C49" s="1" t="n">
        <v>46119</v>
      </c>
      <c r="D49" t="inlineStr">
        <is>
          <t>VÄSTRA GÖTALANDS LÄN</t>
        </is>
      </c>
      <c r="E49" t="inlineStr">
        <is>
          <t>STENUNGSUND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8544-2023</t>
        </is>
      </c>
      <c r="B50" s="1" t="n">
        <v>44977</v>
      </c>
      <c r="C50" s="1" t="n">
        <v>46119</v>
      </c>
      <c r="D50" t="inlineStr">
        <is>
          <t>VÄSTRA GÖTALANDS LÄN</t>
        </is>
      </c>
      <c r="E50" t="inlineStr">
        <is>
          <t>STENUNGSUND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46119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30175-2022</t>
        </is>
      </c>
      <c r="B52" s="1" t="n">
        <v>44757</v>
      </c>
      <c r="C52" s="1" t="n">
        <v>46119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32960-2023</t>
        </is>
      </c>
      <c r="B53" s="1" t="n">
        <v>45125</v>
      </c>
      <c r="C53" s="1" t="n">
        <v>46119</v>
      </c>
      <c r="D53" t="inlineStr">
        <is>
          <t>VÄSTRA GÖTALANDS LÄN</t>
        </is>
      </c>
      <c r="E53" t="inlineStr">
        <is>
          <t>STENUNGSUND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14990-2025</t>
        </is>
      </c>
      <c r="B54" s="1" t="n">
        <v>45743.60700231481</v>
      </c>
      <c r="C54" s="1" t="n">
        <v>46119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9282-2025</t>
        </is>
      </c>
      <c r="B55" s="1" t="n">
        <v>45714.64293981482</v>
      </c>
      <c r="C55" s="1" t="n">
        <v>46119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38996-2025</t>
        </is>
      </c>
      <c r="B56" s="1" t="n">
        <v>45888.33400462963</v>
      </c>
      <c r="C56" s="1" t="n">
        <v>46119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38994-2025</t>
        </is>
      </c>
      <c r="B57" s="1" t="n">
        <v>45888.33225694444</v>
      </c>
      <c r="C57" s="1" t="n">
        <v>46119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40950-2023</t>
        </is>
      </c>
      <c r="B58" s="1" t="n">
        <v>45173</v>
      </c>
      <c r="C58" s="1" t="n">
        <v>46119</v>
      </c>
      <c r="D58" t="inlineStr">
        <is>
          <t>VÄSTRA GÖTALANDS LÄN</t>
        </is>
      </c>
      <c r="E58" t="inlineStr">
        <is>
          <t>STENUNGSUND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46119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46119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46119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46119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46119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6913-2024</t>
        </is>
      </c>
      <c r="B64" s="1" t="n">
        <v>45343.28206018519</v>
      </c>
      <c r="C64" s="1" t="n">
        <v>46119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4578-2023</t>
        </is>
      </c>
      <c r="B65" s="1" t="n">
        <v>44951</v>
      </c>
      <c r="C65" s="1" t="n">
        <v>46119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809-2025</t>
        </is>
      </c>
      <c r="B66" s="1" t="n">
        <v>45665.5518287037</v>
      </c>
      <c r="C66" s="1" t="n">
        <v>46119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10472-2024</t>
        </is>
      </c>
      <c r="B67" s="1" t="n">
        <v>45366.39716435185</v>
      </c>
      <c r="C67" s="1" t="n">
        <v>46119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46119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46119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46119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46119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46119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46119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46119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34253-2023</t>
        </is>
      </c>
      <c r="B75" s="1" t="n">
        <v>45138.5799537037</v>
      </c>
      <c r="C75" s="1" t="n">
        <v>46119</v>
      </c>
      <c r="D75" t="inlineStr">
        <is>
          <t>VÄSTRA GÖTALANDS LÄN</t>
        </is>
      </c>
      <c r="E75" t="inlineStr">
        <is>
          <t>STENUNGSUND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49621-2025</t>
        </is>
      </c>
      <c r="B76" s="1" t="n">
        <v>45939.59266203704</v>
      </c>
      <c r="C76" s="1" t="n">
        <v>46119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50205-2025</t>
        </is>
      </c>
      <c r="B77" s="1" t="n">
        <v>45943.65840277778</v>
      </c>
      <c r="C77" s="1" t="n">
        <v>46119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64992-2023</t>
        </is>
      </c>
      <c r="B78" s="1" t="n">
        <v>45286</v>
      </c>
      <c r="C78" s="1" t="n">
        <v>46119</v>
      </c>
      <c r="D78" t="inlineStr">
        <is>
          <t>VÄSTRA GÖTALANDS LÄN</t>
        </is>
      </c>
      <c r="E78" t="inlineStr">
        <is>
          <t>STENUNGSUND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46119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46119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46119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46119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51546-2025</t>
        </is>
      </c>
      <c r="B83" s="1" t="n">
        <v>45950.7683912037</v>
      </c>
      <c r="C83" s="1" t="n">
        <v>46119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8567-2023</t>
        </is>
      </c>
      <c r="B84" s="1" t="n">
        <v>44977.63353009259</v>
      </c>
      <c r="C84" s="1" t="n">
        <v>46119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46119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46119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52012-2025</t>
        </is>
      </c>
      <c r="B87" s="1" t="n">
        <v>45952.59604166666</v>
      </c>
      <c r="C87" s="1" t="n">
        <v>46119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6147-2022</t>
        </is>
      </c>
      <c r="B88" s="1" t="n">
        <v>44599</v>
      </c>
      <c r="C88" s="1" t="n">
        <v>46119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46119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48895-2023</t>
        </is>
      </c>
      <c r="B90" s="1" t="n">
        <v>45209.49538194444</v>
      </c>
      <c r="C90" s="1" t="n">
        <v>46119</v>
      </c>
      <c r="D90" t="inlineStr">
        <is>
          <t>VÄSTRA GÖTALANDS LÄN</t>
        </is>
      </c>
      <c r="E90" t="inlineStr">
        <is>
          <t>STENUNGSUND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60158-2024</t>
        </is>
      </c>
      <c r="B91" s="1" t="n">
        <v>45642.62672453704</v>
      </c>
      <c r="C91" s="1" t="n">
        <v>46119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54931-2024</t>
        </is>
      </c>
      <c r="B92" s="1" t="n">
        <v>45618.74254629629</v>
      </c>
      <c r="C92" s="1" t="n">
        <v>46119</v>
      </c>
      <c r="D92" t="inlineStr">
        <is>
          <t>VÄSTRA GÖTALANDS LÄN</t>
        </is>
      </c>
      <c r="E92" t="inlineStr">
        <is>
          <t>STENUNGSUND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46119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36018-2025</t>
        </is>
      </c>
      <c r="B94" s="1" t="n">
        <v>45863.66916666667</v>
      </c>
      <c r="C94" s="1" t="n">
        <v>46119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51367-2024</t>
        </is>
      </c>
      <c r="B95" s="1" t="n">
        <v>45604.37143518519</v>
      </c>
      <c r="C95" s="1" t="n">
        <v>46119</v>
      </c>
      <c r="D95" t="inlineStr">
        <is>
          <t>VÄSTRA GÖTALANDS LÄN</t>
        </is>
      </c>
      <c r="E95" t="inlineStr">
        <is>
          <t>STENUNGSUND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4734-2023</t>
        </is>
      </c>
      <c r="B96" s="1" t="n">
        <v>44957</v>
      </c>
      <c r="C96" s="1" t="n">
        <v>46119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60687-2025</t>
        </is>
      </c>
      <c r="B97" s="1" t="n">
        <v>45996.5859837963</v>
      </c>
      <c r="C97" s="1" t="n">
        <v>46119</v>
      </c>
      <c r="D97" t="inlineStr">
        <is>
          <t>VÄSTRA GÖTALANDS LÄN</t>
        </is>
      </c>
      <c r="E97" t="inlineStr">
        <is>
          <t>STENUNGSUND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51661-2023</t>
        </is>
      </c>
      <c r="B98" s="1" t="n">
        <v>45215</v>
      </c>
      <c r="C98" s="1" t="n">
        <v>46119</v>
      </c>
      <c r="D98" t="inlineStr">
        <is>
          <t>VÄSTRA GÖTALANDS LÄN</t>
        </is>
      </c>
      <c r="E98" t="inlineStr">
        <is>
          <t>STENUNGSUND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3243-2022</t>
        </is>
      </c>
      <c r="B99" s="1" t="n">
        <v>44582</v>
      </c>
      <c r="C99" s="1" t="n">
        <v>46119</v>
      </c>
      <c r="D99" t="inlineStr">
        <is>
          <t>VÄSTRA GÖTALANDS LÄN</t>
        </is>
      </c>
      <c r="E99" t="inlineStr">
        <is>
          <t>STENUNGSUND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15535-2024</t>
        </is>
      </c>
      <c r="B100" s="1" t="n">
        <v>45401.610625</v>
      </c>
      <c r="C100" s="1" t="n">
        <v>46119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46119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2481-2026</t>
        </is>
      </c>
      <c r="B102" s="1" t="n">
        <v>46037.38494212963</v>
      </c>
      <c r="C102" s="1" t="n">
        <v>46119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46119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4769-2026</t>
        </is>
      </c>
      <c r="B104" s="1" t="n">
        <v>46048.54363425926</v>
      </c>
      <c r="C104" s="1" t="n">
        <v>46119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11362-2025</t>
        </is>
      </c>
      <c r="B105" s="1" t="n">
        <v>45726</v>
      </c>
      <c r="C105" s="1" t="n">
        <v>46119</v>
      </c>
      <c r="D105" t="inlineStr">
        <is>
          <t>VÄSTRA GÖTALANDS LÄN</t>
        </is>
      </c>
      <c r="E105" t="inlineStr">
        <is>
          <t>STENUNGSUND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34105-2024</t>
        </is>
      </c>
      <c r="B106" s="1" t="n">
        <v>45523.83888888889</v>
      </c>
      <c r="C106" s="1" t="n">
        <v>46119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7562-2026</t>
        </is>
      </c>
      <c r="B107" s="1" t="n">
        <v>46060.45351851852</v>
      </c>
      <c r="C107" s="1" t="n">
        <v>46119</v>
      </c>
      <c r="D107" t="inlineStr">
        <is>
          <t>VÄSTRA GÖTALANDS LÄN</t>
        </is>
      </c>
      <c r="E107" t="inlineStr">
        <is>
          <t>STENUNGSUND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32997-2025</t>
        </is>
      </c>
      <c r="B108" s="1" t="n">
        <v>45840.33818287037</v>
      </c>
      <c r="C108" s="1" t="n">
        <v>46119</v>
      </c>
      <c r="D108" t="inlineStr">
        <is>
          <t>VÄSTRA GÖTALANDS LÄN</t>
        </is>
      </c>
      <c r="E108" t="inlineStr">
        <is>
          <t>STENUNGSUND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15724-2025</t>
        </is>
      </c>
      <c r="B109" s="1" t="n">
        <v>45748</v>
      </c>
      <c r="C109" s="1" t="n">
        <v>46119</v>
      </c>
      <c r="D109" t="inlineStr">
        <is>
          <t>VÄSTRA GÖTALANDS LÄN</t>
        </is>
      </c>
      <c r="E109" t="inlineStr">
        <is>
          <t>STENUNGSUND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15726-2025</t>
        </is>
      </c>
      <c r="B110" s="1" t="n">
        <v>45748</v>
      </c>
      <c r="C110" s="1" t="n">
        <v>46119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19423-2025</t>
        </is>
      </c>
      <c r="B111" s="1" t="n">
        <v>45769.76158564815</v>
      </c>
      <c r="C111" s="1" t="n">
        <v>46119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19424-2025</t>
        </is>
      </c>
      <c r="B112" s="1" t="n">
        <v>45769.7637962963</v>
      </c>
      <c r="C112" s="1" t="n">
        <v>46119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34555-2024</t>
        </is>
      </c>
      <c r="B113" s="1" t="n">
        <v>45525.9071875</v>
      </c>
      <c r="C113" s="1" t="n">
        <v>46119</v>
      </c>
      <c r="D113" t="inlineStr">
        <is>
          <t>VÄSTRA GÖTALANDS LÄN</t>
        </is>
      </c>
      <c r="E113" t="inlineStr">
        <is>
          <t>STENUNGSUND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19296-2025</t>
        </is>
      </c>
      <c r="B114" s="1" t="n">
        <v>45769.5621875</v>
      </c>
      <c r="C114" s="1" t="n">
        <v>46119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33950-2023</t>
        </is>
      </c>
      <c r="B115" s="1" t="n">
        <v>45134</v>
      </c>
      <c r="C115" s="1" t="n">
        <v>46119</v>
      </c>
      <c r="D115" t="inlineStr">
        <is>
          <t>VÄSTRA GÖTALANDS LÄN</t>
        </is>
      </c>
      <c r="E115" t="inlineStr">
        <is>
          <t>STENUNGSUND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22187-2025</t>
        </is>
      </c>
      <c r="B116" s="1" t="n">
        <v>45785.62372685185</v>
      </c>
      <c r="C116" s="1" t="n">
        <v>46119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9080-2025</t>
        </is>
      </c>
      <c r="B117" s="1" t="n">
        <v>45713.66313657408</v>
      </c>
      <c r="C117" s="1" t="n">
        <v>46119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13116-2025</t>
        </is>
      </c>
      <c r="B118" s="1" t="n">
        <v>45734.71525462963</v>
      </c>
      <c r="C118" s="1" t="n">
        <v>46119</v>
      </c>
      <c r="D118" t="inlineStr">
        <is>
          <t>VÄSTRA GÖTALANDS LÄN</t>
        </is>
      </c>
      <c r="E118" t="inlineStr">
        <is>
          <t>STENUNGSUND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12589-2025</t>
        </is>
      </c>
      <c r="B119" s="1" t="n">
        <v>45732.7803125</v>
      </c>
      <c r="C119" s="1" t="n">
        <v>46119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14906-2025</t>
        </is>
      </c>
      <c r="B120" s="1" t="n">
        <v>45743.49373842592</v>
      </c>
      <c r="C120" s="1" t="n">
        <v>46119</v>
      </c>
      <c r="D120" t="inlineStr">
        <is>
          <t>VÄSTRA GÖTALANDS LÄN</t>
        </is>
      </c>
      <c r="E120" t="inlineStr">
        <is>
          <t>STENUNGSUND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8961-2025</t>
        </is>
      </c>
      <c r="B121" s="1" t="n">
        <v>45713.48292824074</v>
      </c>
      <c r="C121" s="1" t="n">
        <v>46119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24211-2025</t>
        </is>
      </c>
      <c r="B122" s="1" t="n">
        <v>45797.34690972222</v>
      </c>
      <c r="C122" s="1" t="n">
        <v>46119</v>
      </c>
      <c r="D122" t="inlineStr">
        <is>
          <t>VÄSTRA GÖTALANDS LÄN</t>
        </is>
      </c>
      <c r="E122" t="inlineStr">
        <is>
          <t>STENUNGSUND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60832-2024</t>
        </is>
      </c>
      <c r="B123" s="1" t="n">
        <v>45644.64081018518</v>
      </c>
      <c r="C123" s="1" t="n">
        <v>46119</v>
      </c>
      <c r="D123" t="inlineStr">
        <is>
          <t>VÄSTRA GÖTALANDS LÄN</t>
        </is>
      </c>
      <c r="E123" t="inlineStr">
        <is>
          <t>STENUNGSUND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48365-2024</t>
        </is>
      </c>
      <c r="B124" s="1" t="n">
        <v>45590.57652777778</v>
      </c>
      <c r="C124" s="1" t="n">
        <v>46119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46119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9893-2025</t>
        </is>
      </c>
      <c r="B126" s="1" t="n">
        <v>45716.70841435185</v>
      </c>
      <c r="C126" s="1" t="n">
        <v>46119</v>
      </c>
      <c r="D126" t="inlineStr">
        <is>
          <t>VÄSTRA GÖTALANDS LÄN</t>
        </is>
      </c>
      <c r="E126" t="inlineStr">
        <is>
          <t>STENUNGSUND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31625-2025</t>
        </is>
      </c>
      <c r="B127" s="1" t="n">
        <v>45834.29967592593</v>
      </c>
      <c r="C127" s="1" t="n">
        <v>46119</v>
      </c>
      <c r="D127" t="inlineStr">
        <is>
          <t>VÄSTRA GÖTALANDS LÄN</t>
        </is>
      </c>
      <c r="E127" t="inlineStr">
        <is>
          <t>STENUNGSUND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2026-04-07T10:45:10Z</dcterms:created>
  <dcterms:modified xmlns:dcterms="http://purl.org/dc/terms/" xmlns:xsi="http://www.w3.org/2001/XMLSchema-instance" xsi:type="dcterms:W3CDTF">2026-04-07T10:45:10Z</dcterms:modified>
</cp:coreProperties>
</file>