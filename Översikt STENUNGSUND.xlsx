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45474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45474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45474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45474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45474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45474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45474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  <c r="Z8">
        <f>HYPERLINK("https://klasma.github.io/Logging_1415/fåglar/A 36339-2020 prioriterade fågelarter.docx",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45474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45474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45474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45474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45474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33572-2023</t>
        </is>
      </c>
      <c r="B14" s="1" t="n">
        <v>45131</v>
      </c>
      <c r="C14" s="1" t="n">
        <v>45474</v>
      </c>
      <c r="D14" t="inlineStr">
        <is>
          <t>VÄSTRA GÖTALANDS LÄN</t>
        </is>
      </c>
      <c r="E14" t="inlineStr">
        <is>
          <t>STENUNGSUND</t>
        </is>
      </c>
      <c r="G14" t="n">
        <v>6.2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HYPERLINK("https://klasma.github.io/Logging_1415/artfynd/A 33572-2023 artfynd.xlsx", "A 33572-2023")</f>
        <v/>
      </c>
      <c r="T14">
        <f>HYPERLINK("https://klasma.github.io/Logging_1415/kartor/A 33572-2023 karta.png", "A 33572-2023")</f>
        <v/>
      </c>
      <c r="V14">
        <f>HYPERLINK("https://klasma.github.io/Logging_1415/klagomål/A 33572-2023 FSC-klagomål.docx", "A 33572-2023")</f>
        <v/>
      </c>
      <c r="W14">
        <f>HYPERLINK("https://klasma.github.io/Logging_1415/klagomålsmail/A 33572-2023 FSC-klagomål mail.docx", "A 33572-2023")</f>
        <v/>
      </c>
      <c r="X14">
        <f>HYPERLINK("https://klasma.github.io/Logging_1415/tillsyn/A 33572-2023 tillsynsbegäran.docx", "A 33572-2023")</f>
        <v/>
      </c>
      <c r="Y14">
        <f>HYPERLINK("https://klasma.github.io/Logging_1415/tillsynsmail/A 33572-2023 tillsynsbegäran mail.docx", "A 33572-2023")</f>
        <v/>
      </c>
    </row>
    <row r="15" ht="15" customHeight="1">
      <c r="A15" t="inlineStr">
        <is>
          <t>A 60706-2023</t>
        </is>
      </c>
      <c r="B15" s="1" t="n">
        <v>45260</v>
      </c>
      <c r="C15" s="1" t="n">
        <v>45474</v>
      </c>
      <c r="D15" t="inlineStr">
        <is>
          <t>VÄSTRA GÖTALANDS LÄN</t>
        </is>
      </c>
      <c r="E15" t="inlineStr">
        <is>
          <t>STENUNGSUND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60706-2023 artfynd.xlsx", "A 60706-2023")</f>
        <v/>
      </c>
      <c r="T15">
        <f>HYPERLINK("https://klasma.github.io/Logging_1415/kartor/A 60706-2023 karta.png", "A 60706-2023")</f>
        <v/>
      </c>
      <c r="V15">
        <f>HYPERLINK("https://klasma.github.io/Logging_1415/klagomål/A 60706-2023 FSC-klagomål.docx", "A 60706-2023")</f>
        <v/>
      </c>
      <c r="W15">
        <f>HYPERLINK("https://klasma.github.io/Logging_1415/klagomålsmail/A 60706-2023 FSC-klagomål mail.docx", "A 60706-2023")</f>
        <v/>
      </c>
      <c r="X15">
        <f>HYPERLINK("https://klasma.github.io/Logging_1415/tillsyn/A 60706-2023 tillsynsbegäran.docx", "A 60706-2023")</f>
        <v/>
      </c>
      <c r="Y15">
        <f>HYPERLINK("https://klasma.github.io/Logging_1415/tillsynsmail/A 60706-2023 tillsynsbegäran mail.docx", "A 60706-2023")</f>
        <v/>
      </c>
    </row>
    <row r="16" ht="15" customHeight="1">
      <c r="A16" t="inlineStr">
        <is>
          <t>A 61760-2023</t>
        </is>
      </c>
      <c r="B16" s="1" t="n">
        <v>45265</v>
      </c>
      <c r="C16" s="1" t="n">
        <v>45474</v>
      </c>
      <c r="D16" t="inlineStr">
        <is>
          <t>VÄSTRA GÖTALANDS LÄN</t>
        </is>
      </c>
      <c r="E16" t="inlineStr">
        <is>
          <t>STENUNGSUND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HYPERLINK("https://klasma.github.io/Logging_1415/artfynd/A 61760-2023 artfynd.xlsx", "A 61760-2023")</f>
        <v/>
      </c>
      <c r="T16">
        <f>HYPERLINK("https://klasma.github.io/Logging_1415/kartor/A 61760-2023 karta.png", "A 61760-2023")</f>
        <v/>
      </c>
      <c r="V16">
        <f>HYPERLINK("https://klasma.github.io/Logging_1415/klagomål/A 61760-2023 FSC-klagomål.docx", "A 61760-2023")</f>
        <v/>
      </c>
      <c r="W16">
        <f>HYPERLINK("https://klasma.github.io/Logging_1415/klagomålsmail/A 61760-2023 FSC-klagomål mail.docx", "A 61760-2023")</f>
        <v/>
      </c>
      <c r="X16">
        <f>HYPERLINK("https://klasma.github.io/Logging_1415/tillsyn/A 61760-2023 tillsynsbegäran.docx", "A 61760-2023")</f>
        <v/>
      </c>
      <c r="Y16">
        <f>HYPERLINK("https://klasma.github.io/Logging_1415/tillsynsmail/A 61760-2023 tillsynsbegäran mail.docx", "A 61760-2023")</f>
        <v/>
      </c>
      <c r="Z16">
        <f>HYPERLINK("https://klasma.github.io/Logging_1415/fåglar/A 61760-2023 prioriterade fågelarter.docx", "A 61760-2023")</f>
        <v/>
      </c>
    </row>
    <row r="17" ht="15" customHeight="1">
      <c r="A17" t="inlineStr">
        <is>
          <t>A 18330-2019</t>
        </is>
      </c>
      <c r="B17" s="1" t="n">
        <v>43559</v>
      </c>
      <c r="C17" s="1" t="n">
        <v>45474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21885-2019</t>
        </is>
      </c>
      <c r="B18" s="1" t="n">
        <v>43584</v>
      </c>
      <c r="C18" s="1" t="n">
        <v>45474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27517-2019</t>
        </is>
      </c>
      <c r="B19" s="1" t="n">
        <v>43619</v>
      </c>
      <c r="C19" s="1" t="n">
        <v>45474</v>
      </c>
      <c r="D19" t="inlineStr">
        <is>
          <t>VÄSTRA GÖTALANDS LÄN</t>
        </is>
      </c>
      <c r="E19" t="inlineStr">
        <is>
          <t>STENUNGSUND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28420-2019</t>
        </is>
      </c>
      <c r="B20" s="1" t="n">
        <v>43626</v>
      </c>
      <c r="C20" s="1" t="n">
        <v>45474</v>
      </c>
      <c r="D20" t="inlineStr">
        <is>
          <t>VÄSTRA GÖTALANDS LÄN</t>
        </is>
      </c>
      <c r="E20" t="inlineStr">
        <is>
          <t>STENUNGSUND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28427-2019</t>
        </is>
      </c>
      <c r="B21" s="1" t="n">
        <v>43626</v>
      </c>
      <c r="C21" s="1" t="n">
        <v>45474</v>
      </c>
      <c r="D21" t="inlineStr">
        <is>
          <t>VÄSTRA GÖTALANDS LÄN</t>
        </is>
      </c>
      <c r="E21" t="inlineStr">
        <is>
          <t>STENUNGSUND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29609-2019</t>
        </is>
      </c>
      <c r="B22" s="1" t="n">
        <v>43630</v>
      </c>
      <c r="C22" s="1" t="n">
        <v>45474</v>
      </c>
      <c r="D22" t="inlineStr">
        <is>
          <t>VÄSTRA GÖTALANDS LÄN</t>
        </is>
      </c>
      <c r="E22" t="inlineStr">
        <is>
          <t>STENUNGSUND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29906-2019</t>
        </is>
      </c>
      <c r="B23" s="1" t="n">
        <v>43633</v>
      </c>
      <c r="C23" s="1" t="n">
        <v>45474</v>
      </c>
      <c r="D23" t="inlineStr">
        <is>
          <t>VÄSTRA GÖTALANDS LÄN</t>
        </is>
      </c>
      <c r="E23" t="inlineStr">
        <is>
          <t>STENUNGSUND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36634-2019</t>
        </is>
      </c>
      <c r="B24" s="1" t="n">
        <v>43669</v>
      </c>
      <c r="C24" s="1" t="n">
        <v>45474</v>
      </c>
      <c r="D24" t="inlineStr">
        <is>
          <t>VÄSTRA GÖTALANDS LÄN</t>
        </is>
      </c>
      <c r="E24" t="inlineStr">
        <is>
          <t>STENUNGSUND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48655-2019</t>
        </is>
      </c>
      <c r="B25" s="1" t="n">
        <v>43728</v>
      </c>
      <c r="C25" s="1" t="n">
        <v>45474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59941-2019</t>
        </is>
      </c>
      <c r="B26" s="1" t="n">
        <v>43775</v>
      </c>
      <c r="C26" s="1" t="n">
        <v>45474</v>
      </c>
      <c r="D26" t="inlineStr">
        <is>
          <t>VÄSTRA GÖTALANDS LÄN</t>
        </is>
      </c>
      <c r="E26" t="inlineStr">
        <is>
          <t>STENUNGSUND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64383-2019</t>
        </is>
      </c>
      <c r="B27" s="1" t="n">
        <v>43797</v>
      </c>
      <c r="C27" s="1" t="n">
        <v>45474</v>
      </c>
      <c r="D27" t="inlineStr">
        <is>
          <t>VÄSTRA GÖTALANDS LÄN</t>
        </is>
      </c>
      <c r="E27" t="inlineStr">
        <is>
          <t>STENUNGSUND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112-2020</t>
        </is>
      </c>
      <c r="B28" s="1" t="n">
        <v>43832</v>
      </c>
      <c r="C28" s="1" t="n">
        <v>45474</v>
      </c>
      <c r="D28" t="inlineStr">
        <is>
          <t>VÄSTRA GÖTALANDS LÄN</t>
        </is>
      </c>
      <c r="E28" t="inlineStr">
        <is>
          <t>STENUNGSUND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4873-2020</t>
        </is>
      </c>
      <c r="B29" s="1" t="n">
        <v>43859</v>
      </c>
      <c r="C29" s="1" t="n">
        <v>45474</v>
      </c>
      <c r="D29" t="inlineStr">
        <is>
          <t>VÄSTRA GÖTALANDS LÄN</t>
        </is>
      </c>
      <c r="E29" t="inlineStr">
        <is>
          <t>STENUNGSUND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7161-2020</t>
        </is>
      </c>
      <c r="B30" s="1" t="n">
        <v>43870</v>
      </c>
      <c r="C30" s="1" t="n">
        <v>45474</v>
      </c>
      <c r="D30" t="inlineStr">
        <is>
          <t>VÄSTRA GÖTALANDS LÄN</t>
        </is>
      </c>
      <c r="E30" t="inlineStr">
        <is>
          <t>STENUNGSUND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7325-2020</t>
        </is>
      </c>
      <c r="B31" s="1" t="n">
        <v>43871</v>
      </c>
      <c r="C31" s="1" t="n">
        <v>45474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8318-2020</t>
        </is>
      </c>
      <c r="B32" s="1" t="n">
        <v>43875</v>
      </c>
      <c r="C32" s="1" t="n">
        <v>45474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8615-2020</t>
        </is>
      </c>
      <c r="B33" s="1" t="n">
        <v>43878</v>
      </c>
      <c r="C33" s="1" t="n">
        <v>45474</v>
      </c>
      <c r="D33" t="inlineStr">
        <is>
          <t>VÄSTRA GÖTALANDS LÄN</t>
        </is>
      </c>
      <c r="E33" t="inlineStr">
        <is>
          <t>STENUNGSUND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10423-2020</t>
        </is>
      </c>
      <c r="B34" s="1" t="n">
        <v>43886</v>
      </c>
      <c r="C34" s="1" t="n">
        <v>45474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32157-2020</t>
        </is>
      </c>
      <c r="B35" s="1" t="n">
        <v>44015</v>
      </c>
      <c r="C35" s="1" t="n">
        <v>45474</v>
      </c>
      <c r="D35" t="inlineStr">
        <is>
          <t>VÄSTRA GÖTALANDS LÄN</t>
        </is>
      </c>
      <c r="E35" t="inlineStr">
        <is>
          <t>STENUNGSUND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32617-2020</t>
        </is>
      </c>
      <c r="B36" s="1" t="n">
        <v>44019</v>
      </c>
      <c r="C36" s="1" t="n">
        <v>45474</v>
      </c>
      <c r="D36" t="inlineStr">
        <is>
          <t>VÄSTRA GÖTALANDS LÄN</t>
        </is>
      </c>
      <c r="E36" t="inlineStr">
        <is>
          <t>STENUNGSUND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33436-2020</t>
        </is>
      </c>
      <c r="B37" s="1" t="n">
        <v>44022</v>
      </c>
      <c r="C37" s="1" t="n">
        <v>45474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33491-2020</t>
        </is>
      </c>
      <c r="B38" s="1" t="n">
        <v>44024</v>
      </c>
      <c r="C38" s="1" t="n">
        <v>45474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54752-2020</t>
        </is>
      </c>
      <c r="B39" s="1" t="n">
        <v>44127</v>
      </c>
      <c r="C39" s="1" t="n">
        <v>45474</v>
      </c>
      <c r="D39" t="inlineStr">
        <is>
          <t>VÄSTRA GÖTALANDS LÄN</t>
        </is>
      </c>
      <c r="E39" t="inlineStr">
        <is>
          <t>STENUNGSUND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60892-2020</t>
        </is>
      </c>
      <c r="B40" s="1" t="n">
        <v>44153</v>
      </c>
      <c r="C40" s="1" t="n">
        <v>45474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62265-2020</t>
        </is>
      </c>
      <c r="B41" s="1" t="n">
        <v>44160</v>
      </c>
      <c r="C41" s="1" t="n">
        <v>45474</v>
      </c>
      <c r="D41" t="inlineStr">
        <is>
          <t>VÄSTRA GÖTALANDS LÄN</t>
        </is>
      </c>
      <c r="E41" t="inlineStr">
        <is>
          <t>STENUNGSUND</t>
        </is>
      </c>
      <c r="F41" t="inlineStr">
        <is>
          <t>Kyrkan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62910-2020</t>
        </is>
      </c>
      <c r="B42" s="1" t="n">
        <v>44162</v>
      </c>
      <c r="C42" s="1" t="n">
        <v>45474</v>
      </c>
      <c r="D42" t="inlineStr">
        <is>
          <t>VÄSTRA GÖTALANDS LÄN</t>
        </is>
      </c>
      <c r="E42" t="inlineStr">
        <is>
          <t>STENUNGSUND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45474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1898-2021</t>
        </is>
      </c>
      <c r="B44" s="1" t="n">
        <v>44210</v>
      </c>
      <c r="C44" s="1" t="n">
        <v>45474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4233-2021</t>
        </is>
      </c>
      <c r="B45" s="1" t="n">
        <v>44223</v>
      </c>
      <c r="C45" s="1" t="n">
        <v>45474</v>
      </c>
      <c r="D45" t="inlineStr">
        <is>
          <t>VÄSTRA GÖTALANDS LÄN</t>
        </is>
      </c>
      <c r="E45" t="inlineStr">
        <is>
          <t>STENUNGSUND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12274-2021</t>
        </is>
      </c>
      <c r="B46" s="1" t="n">
        <v>44266</v>
      </c>
      <c r="C46" s="1" t="n">
        <v>45474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12270-2021</t>
        </is>
      </c>
      <c r="B47" s="1" t="n">
        <v>44266</v>
      </c>
      <c r="C47" s="1" t="n">
        <v>45474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14782-2021</t>
        </is>
      </c>
      <c r="B48" s="1" t="n">
        <v>44280</v>
      </c>
      <c r="C48" s="1" t="n">
        <v>45474</v>
      </c>
      <c r="D48" t="inlineStr">
        <is>
          <t>VÄSTRA GÖTALANDS LÄN</t>
        </is>
      </c>
      <c r="E48" t="inlineStr">
        <is>
          <t>STENUNGSUND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45474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21318-2021</t>
        </is>
      </c>
      <c r="B50" s="1" t="n">
        <v>44320</v>
      </c>
      <c r="C50" s="1" t="n">
        <v>45474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35927-2021</t>
        </is>
      </c>
      <c r="B51" s="1" t="n">
        <v>44388</v>
      </c>
      <c r="C51" s="1" t="n">
        <v>45474</v>
      </c>
      <c r="D51" t="inlineStr">
        <is>
          <t>VÄSTRA GÖTALANDS LÄN</t>
        </is>
      </c>
      <c r="E51" t="inlineStr">
        <is>
          <t>STENUNGSUND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37866-2021</t>
        </is>
      </c>
      <c r="B52" s="1" t="n">
        <v>44403</v>
      </c>
      <c r="C52" s="1" t="n">
        <v>45474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41312-2021</t>
        </is>
      </c>
      <c r="B53" s="1" t="n">
        <v>44424</v>
      </c>
      <c r="C53" s="1" t="n">
        <v>45474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50309-2021</t>
        </is>
      </c>
      <c r="B54" s="1" t="n">
        <v>44459</v>
      </c>
      <c r="C54" s="1" t="n">
        <v>45474</v>
      </c>
      <c r="D54" t="inlineStr">
        <is>
          <t>VÄSTRA GÖTALANDS LÄN</t>
        </is>
      </c>
      <c r="E54" t="inlineStr">
        <is>
          <t>STENUNGSUND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51116-2021</t>
        </is>
      </c>
      <c r="B55" s="1" t="n">
        <v>44461</v>
      </c>
      <c r="C55" s="1" t="n">
        <v>45474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52952-2021</t>
        </is>
      </c>
      <c r="B56" s="1" t="n">
        <v>44467</v>
      </c>
      <c r="C56" s="1" t="n">
        <v>45474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54601-2021</t>
        </is>
      </c>
      <c r="B57" s="1" t="n">
        <v>44473</v>
      </c>
      <c r="C57" s="1" t="n">
        <v>45474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62007-2021</t>
        </is>
      </c>
      <c r="B58" s="1" t="n">
        <v>44502</v>
      </c>
      <c r="C58" s="1" t="n">
        <v>45474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62701-2021</t>
        </is>
      </c>
      <c r="B59" s="1" t="n">
        <v>44503</v>
      </c>
      <c r="C59" s="1" t="n">
        <v>45474</v>
      </c>
      <c r="D59" t="inlineStr">
        <is>
          <t>VÄSTRA GÖTALANDS LÄN</t>
        </is>
      </c>
      <c r="E59" t="inlineStr">
        <is>
          <t>STENUNGSUND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69872-2021</t>
        </is>
      </c>
      <c r="B60" s="1" t="n">
        <v>44532</v>
      </c>
      <c r="C60" s="1" t="n">
        <v>45474</v>
      </c>
      <c r="D60" t="inlineStr">
        <is>
          <t>VÄSTRA GÖTALANDS LÄN</t>
        </is>
      </c>
      <c r="E60" t="inlineStr">
        <is>
          <t>STENUNGSUND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</v>
      </c>
      <c r="C61" s="1" t="n">
        <v>45474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3243-2022</t>
        </is>
      </c>
      <c r="B62" s="1" t="n">
        <v>44582</v>
      </c>
      <c r="C62" s="1" t="n">
        <v>45474</v>
      </c>
      <c r="D62" t="inlineStr">
        <is>
          <t>VÄSTRA GÖTALANDS LÄN</t>
        </is>
      </c>
      <c r="E62" t="inlineStr">
        <is>
          <t>STENUNGSUND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3244-2022</t>
        </is>
      </c>
      <c r="B63" s="1" t="n">
        <v>44582</v>
      </c>
      <c r="C63" s="1" t="n">
        <v>45474</v>
      </c>
      <c r="D63" t="inlineStr">
        <is>
          <t>VÄSTRA GÖTALANDS LÄN</t>
        </is>
      </c>
      <c r="E63" t="inlineStr">
        <is>
          <t>STENUNGSUND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45474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6293-2022</t>
        </is>
      </c>
      <c r="B65" s="1" t="n">
        <v>44600</v>
      </c>
      <c r="C65" s="1" t="n">
        <v>45474</v>
      </c>
      <c r="D65" t="inlineStr">
        <is>
          <t>VÄSTRA GÖTALANDS LÄN</t>
        </is>
      </c>
      <c r="E65" t="inlineStr">
        <is>
          <t>STENUNGSUND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6699-2022</t>
        </is>
      </c>
      <c r="B66" s="1" t="n">
        <v>44602</v>
      </c>
      <c r="C66" s="1" t="n">
        <v>45474</v>
      </c>
      <c r="D66" t="inlineStr">
        <is>
          <t>VÄSTRA GÖTALANDS LÄN</t>
        </is>
      </c>
      <c r="E66" t="inlineStr">
        <is>
          <t>STENUNGSUND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7787-2022</t>
        </is>
      </c>
      <c r="B67" s="1" t="n">
        <v>44608</v>
      </c>
      <c r="C67" s="1" t="n">
        <v>45474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45474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9273-2022</t>
        </is>
      </c>
      <c r="B69" s="1" t="n">
        <v>44616</v>
      </c>
      <c r="C69" s="1" t="n">
        <v>45474</v>
      </c>
      <c r="D69" t="inlineStr">
        <is>
          <t>VÄSTRA GÖTALANDS LÄN</t>
        </is>
      </c>
      <c r="E69" t="inlineStr">
        <is>
          <t>STENUNGSUND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</v>
      </c>
      <c r="C70" s="1" t="n">
        <v>45474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29315-2022</t>
        </is>
      </c>
      <c r="B71" s="1" t="n">
        <v>44751</v>
      </c>
      <c r="C71" s="1" t="n">
        <v>45474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45474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32893-2022</t>
        </is>
      </c>
      <c r="B73" s="1" t="n">
        <v>44784</v>
      </c>
      <c r="C73" s="1" t="n">
        <v>45474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33011-2022</t>
        </is>
      </c>
      <c r="B74" s="1" t="n">
        <v>44785</v>
      </c>
      <c r="C74" s="1" t="n">
        <v>45474</v>
      </c>
      <c r="D74" t="inlineStr">
        <is>
          <t>VÄSTRA GÖTALANDS LÄN</t>
        </is>
      </c>
      <c r="E74" t="inlineStr">
        <is>
          <t>STENUNGSUND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45474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44492-2022</t>
        </is>
      </c>
      <c r="B76" s="1" t="n">
        <v>44840</v>
      </c>
      <c r="C76" s="1" t="n">
        <v>45474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48215-2022</t>
        </is>
      </c>
      <c r="B77" s="1" t="n">
        <v>44858</v>
      </c>
      <c r="C77" s="1" t="n">
        <v>45474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50700-2022</t>
        </is>
      </c>
      <c r="B78" s="1" t="n">
        <v>44862</v>
      </c>
      <c r="C78" s="1" t="n">
        <v>45474</v>
      </c>
      <c r="D78" t="inlineStr">
        <is>
          <t>VÄSTRA GÖTALANDS LÄN</t>
        </is>
      </c>
      <c r="E78" t="inlineStr">
        <is>
          <t>STENUNGSUND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52242-2022</t>
        </is>
      </c>
      <c r="B79" s="1" t="n">
        <v>44873</v>
      </c>
      <c r="C79" s="1" t="n">
        <v>45474</v>
      </c>
      <c r="D79" t="inlineStr">
        <is>
          <t>VÄSTRA GÖTALANDS LÄN</t>
        </is>
      </c>
      <c r="E79" t="inlineStr">
        <is>
          <t>STENUNGSUND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40-2023</t>
        </is>
      </c>
      <c r="B80" s="1" t="n">
        <v>44928</v>
      </c>
      <c r="C80" s="1" t="n">
        <v>45474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3570-2023</t>
        </is>
      </c>
      <c r="B81" s="1" t="n">
        <v>44950</v>
      </c>
      <c r="C81" s="1" t="n">
        <v>45474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3569-2023</t>
        </is>
      </c>
      <c r="B82" s="1" t="n">
        <v>44950</v>
      </c>
      <c r="C82" s="1" t="n">
        <v>45474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45474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4734-2023</t>
        </is>
      </c>
      <c r="B84" s="1" t="n">
        <v>44957</v>
      </c>
      <c r="C84" s="1" t="n">
        <v>45474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8544-2023</t>
        </is>
      </c>
      <c r="B85" s="1" t="n">
        <v>44977</v>
      </c>
      <c r="C85" s="1" t="n">
        <v>45474</v>
      </c>
      <c r="D85" t="inlineStr">
        <is>
          <t>VÄSTRA GÖTALANDS LÄN</t>
        </is>
      </c>
      <c r="E85" t="inlineStr">
        <is>
          <t>STENUNGSUND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8576-2023</t>
        </is>
      </c>
      <c r="B86" s="1" t="n">
        <v>44977</v>
      </c>
      <c r="C86" s="1" t="n">
        <v>45474</v>
      </c>
      <c r="D86" t="inlineStr">
        <is>
          <t>VÄSTRA GÖTALANDS LÄN</t>
        </is>
      </c>
      <c r="E86" t="inlineStr">
        <is>
          <t>STENUNGSUND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8567-2023</t>
        </is>
      </c>
      <c r="B87" s="1" t="n">
        <v>44977</v>
      </c>
      <c r="C87" s="1" t="n">
        <v>45474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10909-2023</t>
        </is>
      </c>
      <c r="B88" s="1" t="n">
        <v>44991</v>
      </c>
      <c r="C88" s="1" t="n">
        <v>45474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13605-2023</t>
        </is>
      </c>
      <c r="B89" s="1" t="n">
        <v>45006</v>
      </c>
      <c r="C89" s="1" t="n">
        <v>45474</v>
      </c>
      <c r="D89" t="inlineStr">
        <is>
          <t>VÄSTRA GÖTALANDS LÄN</t>
        </is>
      </c>
      <c r="E89" t="inlineStr">
        <is>
          <t>STENUNGSUND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45474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20944-2023</t>
        </is>
      </c>
      <c r="B91" s="1" t="n">
        <v>45061</v>
      </c>
      <c r="C91" s="1" t="n">
        <v>45474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24807-2023</t>
        </is>
      </c>
      <c r="B92" s="1" t="n">
        <v>45084</v>
      </c>
      <c r="C92" s="1" t="n">
        <v>45474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27030-2023</t>
        </is>
      </c>
      <c r="B93" s="1" t="n">
        <v>45095</v>
      </c>
      <c r="C93" s="1" t="n">
        <v>45474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28410-2023</t>
        </is>
      </c>
      <c r="B94" s="1" t="n">
        <v>45101</v>
      </c>
      <c r="C94" s="1" t="n">
        <v>45474</v>
      </c>
      <c r="D94" t="inlineStr">
        <is>
          <t>VÄSTRA GÖTALANDS LÄN</t>
        </is>
      </c>
      <c r="E94" t="inlineStr">
        <is>
          <t>STENUNGSUND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32960-2023</t>
        </is>
      </c>
      <c r="B95" s="1" t="n">
        <v>45125</v>
      </c>
      <c r="C95" s="1" t="n">
        <v>45474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33686-2023</t>
        </is>
      </c>
      <c r="B96" s="1" t="n">
        <v>45132</v>
      </c>
      <c r="C96" s="1" t="n">
        <v>45474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45474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</v>
      </c>
      <c r="C98" s="1" t="n">
        <v>45474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34932-2023</t>
        </is>
      </c>
      <c r="B99" s="1" t="n">
        <v>45142</v>
      </c>
      <c r="C99" s="1" t="n">
        <v>45474</v>
      </c>
      <c r="D99" t="inlineStr">
        <is>
          <t>VÄSTRA GÖTALANDS LÄN</t>
        </is>
      </c>
      <c r="E99" t="inlineStr">
        <is>
          <t>STENUNGSUND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36407-2023</t>
        </is>
      </c>
      <c r="B100" s="1" t="n">
        <v>45152</v>
      </c>
      <c r="C100" s="1" t="n">
        <v>45474</v>
      </c>
      <c r="D100" t="inlineStr">
        <is>
          <t>VÄSTRA GÖTALANDS LÄN</t>
        </is>
      </c>
      <c r="E100" t="inlineStr">
        <is>
          <t>STENUNGSUND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45474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48895-2023</t>
        </is>
      </c>
      <c r="B102" s="1" t="n">
        <v>45209</v>
      </c>
      <c r="C102" s="1" t="n">
        <v>45474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45474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57850-2023</t>
        </is>
      </c>
      <c r="B104" s="1" t="n">
        <v>45247</v>
      </c>
      <c r="C104" s="1" t="n">
        <v>45474</v>
      </c>
      <c r="D104" t="inlineStr">
        <is>
          <t>VÄSTRA GÖTALANDS LÄN</t>
        </is>
      </c>
      <c r="E104" t="inlineStr">
        <is>
          <t>STENUNGSUND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</v>
      </c>
      <c r="C105" s="1" t="n">
        <v>45474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61299-2023</t>
        </is>
      </c>
      <c r="B106" s="1" t="n">
        <v>45264</v>
      </c>
      <c r="C106" s="1" t="n">
        <v>45474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61759-2023</t>
        </is>
      </c>
      <c r="B107" s="1" t="n">
        <v>45265</v>
      </c>
      <c r="C107" s="1" t="n">
        <v>45474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62220-2023</t>
        </is>
      </c>
      <c r="B108" s="1" t="n">
        <v>45267</v>
      </c>
      <c r="C108" s="1" t="n">
        <v>45474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45474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65031-2023</t>
        </is>
      </c>
      <c r="B110" s="1" t="n">
        <v>45287</v>
      </c>
      <c r="C110" s="1" t="n">
        <v>45474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331-2024</t>
        </is>
      </c>
      <c r="B111" s="1" t="n">
        <v>45295</v>
      </c>
      <c r="C111" s="1" t="n">
        <v>45474</v>
      </c>
      <c r="D111" t="inlineStr">
        <is>
          <t>VÄSTRA GÖTALANDS LÄN</t>
        </is>
      </c>
      <c r="E111" t="inlineStr">
        <is>
          <t>STENUNGSUND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897-2024</t>
        </is>
      </c>
      <c r="B112" s="1" t="n">
        <v>45301</v>
      </c>
      <c r="C112" s="1" t="n">
        <v>45474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1190-2024</t>
        </is>
      </c>
      <c r="B113" s="1" t="n">
        <v>45302</v>
      </c>
      <c r="C113" s="1" t="n">
        <v>45474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1956-2024</t>
        </is>
      </c>
      <c r="B114" s="1" t="n">
        <v>45308</v>
      </c>
      <c r="C114" s="1" t="n">
        <v>45474</v>
      </c>
      <c r="D114" t="inlineStr">
        <is>
          <t>VÄSTRA GÖTALANDS LÄN</t>
        </is>
      </c>
      <c r="E114" t="inlineStr">
        <is>
          <t>STENUNGSUND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2412-2024</t>
        </is>
      </c>
      <c r="B115" s="1" t="n">
        <v>45310</v>
      </c>
      <c r="C115" s="1" t="n">
        <v>45474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6913-2024</t>
        </is>
      </c>
      <c r="B116" s="1" t="n">
        <v>45343</v>
      </c>
      <c r="C116" s="1" t="n">
        <v>45474</v>
      </c>
      <c r="D116" t="inlineStr">
        <is>
          <t>VÄSTRA GÖTALANDS LÄN</t>
        </is>
      </c>
      <c r="E116" t="inlineStr">
        <is>
          <t>STENUNGSUND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7954-2024</t>
        </is>
      </c>
      <c r="B117" s="1" t="n">
        <v>45349</v>
      </c>
      <c r="C117" s="1" t="n">
        <v>45474</v>
      </c>
      <c r="D117" t="inlineStr">
        <is>
          <t>VÄSTRA GÖTALANDS LÄN</t>
        </is>
      </c>
      <c r="E117" t="inlineStr">
        <is>
          <t>STENUNGSUND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</v>
      </c>
      <c r="C118" s="1" t="n">
        <v>45474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9043-2024</t>
        </is>
      </c>
      <c r="B119" s="1" t="n">
        <v>45356</v>
      </c>
      <c r="C119" s="1" t="n">
        <v>45474</v>
      </c>
      <c r="D119" t="inlineStr">
        <is>
          <t>VÄSTRA GÖTALANDS LÄN</t>
        </is>
      </c>
      <c r="E119" t="inlineStr">
        <is>
          <t>STENUNGSUND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10506-2024</t>
        </is>
      </c>
      <c r="B120" s="1" t="n">
        <v>45366</v>
      </c>
      <c r="C120" s="1" t="n">
        <v>45474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10472-2024</t>
        </is>
      </c>
      <c r="B121" s="1" t="n">
        <v>45366</v>
      </c>
      <c r="C121" s="1" t="n">
        <v>45474</v>
      </c>
      <c r="D121" t="inlineStr">
        <is>
          <t>VÄSTRA GÖTALANDS LÄN</t>
        </is>
      </c>
      <c r="E121" t="inlineStr">
        <is>
          <t>STENUNGSUND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13586-2024</t>
        </is>
      </c>
      <c r="B122" s="1" t="n">
        <v>45389</v>
      </c>
      <c r="C122" s="1" t="n">
        <v>45474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13877-2024</t>
        </is>
      </c>
      <c r="B123" s="1" t="n">
        <v>45391</v>
      </c>
      <c r="C123" s="1" t="n">
        <v>45474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15535-2024</t>
        </is>
      </c>
      <c r="B124" s="1" t="n">
        <v>45401</v>
      </c>
      <c r="C124" s="1" t="n">
        <v>45474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16316-2024</t>
        </is>
      </c>
      <c r="B125" s="1" t="n">
        <v>45407</v>
      </c>
      <c r="C125" s="1" t="n">
        <v>45474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21711-2024</t>
        </is>
      </c>
      <c r="B126" s="1" t="n">
        <v>45442</v>
      </c>
      <c r="C126" s="1" t="n">
        <v>45474</v>
      </c>
      <c r="D126" t="inlineStr">
        <is>
          <t>VÄSTRA GÖTALANDS LÄN</t>
        </is>
      </c>
      <c r="E126" t="inlineStr">
        <is>
          <t>STENUNGSUND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22435-2024</t>
        </is>
      </c>
      <c r="B127" s="1" t="n">
        <v>45446</v>
      </c>
      <c r="C127" s="1" t="n">
        <v>45474</v>
      </c>
      <c r="D127" t="inlineStr">
        <is>
          <t>VÄSTRA GÖTALANDS LÄN</t>
        </is>
      </c>
      <c r="E127" t="inlineStr">
        <is>
          <t>STENUNGSUND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23101-2024</t>
        </is>
      </c>
      <c r="B128" s="1" t="n">
        <v>45450</v>
      </c>
      <c r="C128" s="1" t="n">
        <v>45474</v>
      </c>
      <c r="D128" t="inlineStr">
        <is>
          <t>VÄSTRA GÖTALANDS LÄN</t>
        </is>
      </c>
      <c r="E128" t="inlineStr">
        <is>
          <t>STENUNGSUND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23762-2024</t>
        </is>
      </c>
      <c r="B129" s="1" t="n">
        <v>45455</v>
      </c>
      <c r="C129" s="1" t="n">
        <v>45474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23901-2024</t>
        </is>
      </c>
      <c r="B130" s="1" t="n">
        <v>45455</v>
      </c>
      <c r="C130" s="1" t="n">
        <v>45474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24705-2024</t>
        </is>
      </c>
      <c r="B131" s="1" t="n">
        <v>45460</v>
      </c>
      <c r="C131" s="1" t="n">
        <v>45474</v>
      </c>
      <c r="D131" t="inlineStr">
        <is>
          <t>VÄSTRA GÖTALANDS LÄN</t>
        </is>
      </c>
      <c r="E131" t="inlineStr">
        <is>
          <t>STENUNGSUND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45474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25288-2024</t>
        </is>
      </c>
      <c r="B133" s="1" t="n">
        <v>45462</v>
      </c>
      <c r="C133" s="1" t="n">
        <v>45474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25286-2024</t>
        </is>
      </c>
      <c r="B134" s="1" t="n">
        <v>45462</v>
      </c>
      <c r="C134" s="1" t="n">
        <v>45474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2024-07-01T10:15:04Z</dcterms:created>
  <dcterms:modified xmlns:dcterms="http://purl.org/dc/terms/" xmlns:xsi="http://www.w3.org/2001/XMLSchema-instance" xsi:type="dcterms:W3CDTF">2024-07-01T10:15:04Z</dcterms:modified>
</cp:coreProperties>
</file>