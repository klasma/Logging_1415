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46265</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46265</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46265</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46265</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46265</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11794-2025</t>
        </is>
      </c>
      <c r="B7" t="inlineStr">
        <is>
          <t>avverkningsanmälan</t>
        </is>
      </c>
      <c r="C7" t="inlineStr">
        <is>
          <t>Avverkning för annat ändamål</t>
        </is>
      </c>
      <c r="D7" s="1" t="n">
        <v>45727</v>
      </c>
      <c r="E7" s="1" t="n">
        <v>46265</v>
      </c>
      <c r="F7" t="inlineStr">
        <is>
          <t>VÄSTRA GÖTALANDS LÄN</t>
        </is>
      </c>
      <c r="G7" t="inlineStr">
        <is>
          <t>STENUNGSUND</t>
        </is>
      </c>
      <c r="I7" t="n">
        <v>2.5</v>
      </c>
      <c r="J7" t="n">
        <v>2</v>
      </c>
      <c r="K7" t="n">
        <v>0</v>
      </c>
      <c r="L7" t="n">
        <v>1</v>
      </c>
      <c r="M7" t="n">
        <v>0</v>
      </c>
      <c r="N7" t="n">
        <v>0</v>
      </c>
      <c r="O7" t="n">
        <v>0</v>
      </c>
      <c r="P7" t="n">
        <v>0</v>
      </c>
      <c r="Q7" t="n">
        <v>1</v>
      </c>
      <c r="R7" t="n">
        <v>0</v>
      </c>
      <c r="S7" t="n">
        <v>3</v>
      </c>
      <c r="T7" t="n">
        <v>5</v>
      </c>
      <c r="U7" t="n">
        <v>0</v>
      </c>
      <c r="V7" s="2" t="inlineStr">
        <is>
          <t>Tallticka
Vanlig groda
Revlummer</t>
        </is>
      </c>
      <c r="W7">
        <f>HYPERLINK("https://klasma.github.io/Logging_1415/artfynd/A 11794-2025 artfynd.xlsx", "A 11794-2025")</f>
        <v/>
      </c>
      <c r="X7">
        <f>HYPERLINK("https://klasma.github.io/Logging_1415/kartor/A 11794-2025 karta.png", "A 11794-2025")</f>
        <v/>
      </c>
      <c r="Y7">
        <f>HYPERLINK("https://klasma.github.io/Logging_1415/kartor_geotiff/A 11794-2025 georefererad karta.tif", "A 11794-2025")</f>
        <v/>
      </c>
      <c r="AA7">
        <f>HYPERLINK("https://klasma.github.io/Logging_1415/klagomål/A 11794-2025 FSC-klagomål.docx", "A 11794-2025")</f>
        <v/>
      </c>
      <c r="AB7">
        <f>HYPERLINK("https://klasma.github.io/Logging_1415/klagomålsmail/A 11794-2025 FSC-klagomål mail.docx", "A 11794-2025")</f>
        <v/>
      </c>
      <c r="AC7">
        <f>HYPERLINK("https://klasma.github.io/Logging_1415/tillsyn/A 11794-2025 tillsynsbegäran.docx", "A 11794-2025")</f>
        <v/>
      </c>
      <c r="AD7">
        <f>HYPERLINK("https://klasma.github.io/Logging_1415/tillsynsmail/A 11794-2025 tillsynsbegäran mail.docx", "A 11794-2025")</f>
        <v/>
      </c>
    </row>
    <row r="8" ht="15" customHeight="1">
      <c r="A8" t="inlineStr">
        <is>
          <t>A 44272-2024</t>
        </is>
      </c>
      <c r="B8" t="inlineStr">
        <is>
          <t>avverkningsanmälan</t>
        </is>
      </c>
      <c r="C8" t="inlineStr">
        <is>
          <t>Föryngringsavverkning</t>
        </is>
      </c>
      <c r="D8" s="1" t="n">
        <v>45573</v>
      </c>
      <c r="E8" s="1" t="n">
        <v>46265</v>
      </c>
      <c r="F8" t="inlineStr">
        <is>
          <t>VÄSTRA GÖTALANDS LÄN</t>
        </is>
      </c>
      <c r="G8" t="inlineStr">
        <is>
          <t>STENUNGSUND</t>
        </is>
      </c>
      <c r="I8" t="n">
        <v>3.8</v>
      </c>
      <c r="J8" t="n">
        <v>3</v>
      </c>
      <c r="K8" t="n">
        <v>0</v>
      </c>
      <c r="L8" t="n">
        <v>0</v>
      </c>
      <c r="M8" t="n">
        <v>0</v>
      </c>
      <c r="N8" t="n">
        <v>0</v>
      </c>
      <c r="O8" t="n">
        <v>0</v>
      </c>
      <c r="P8" t="n">
        <v>0</v>
      </c>
      <c r="Q8" t="n">
        <v>0</v>
      </c>
      <c r="R8" t="n">
        <v>0</v>
      </c>
      <c r="S8" t="n">
        <v>3</v>
      </c>
      <c r="T8" t="n">
        <v>3</v>
      </c>
      <c r="U8" t="n">
        <v>0</v>
      </c>
      <c r="V8" s="2" t="inlineStr">
        <is>
          <t>Mattlummer
Lopplummer (aggregat)
Revlummer</t>
        </is>
      </c>
      <c r="W8">
        <f>HYPERLINK("https://klasma.github.io/Logging_1415/artfynd/A 44272-2024 artfynd.xlsx", "A 44272-2024")</f>
        <v/>
      </c>
      <c r="X8">
        <f>HYPERLINK("https://klasma.github.io/Logging_1415/kartor/A 44272-2024 karta.png", "A 44272-2024")</f>
        <v/>
      </c>
      <c r="Y8">
        <f>HYPERLINK("https://klasma.github.io/Logging_1415/kartor_geotiff/A 44272-2024 georefererad karta.tif", "A 44272-2024")</f>
        <v/>
      </c>
      <c r="AA8">
        <f>HYPERLINK("https://klasma.github.io/Logging_1415/klagomål/A 44272-2024 FSC-klagomål.docx", "A 44272-2024")</f>
        <v/>
      </c>
      <c r="AB8">
        <f>HYPERLINK("https://klasma.github.io/Logging_1415/klagomålsmail/A 44272-2024 FSC-klagomål mail.docx", "A 44272-2024")</f>
        <v/>
      </c>
      <c r="AC8">
        <f>HYPERLINK("https://klasma.github.io/Logging_1415/tillsyn/A 44272-2024 tillsynsbegäran.docx", "A 44272-2024")</f>
        <v/>
      </c>
      <c r="AD8">
        <f>HYPERLINK("https://klasma.github.io/Logging_1415/tillsynsmail/A 44272-2024 tillsynsbegäran mail.docx", "A 44272-2024")</f>
        <v/>
      </c>
    </row>
    <row r="9" ht="15" customHeight="1">
      <c r="A9" t="inlineStr">
        <is>
          <t>A 4771-2026</t>
        </is>
      </c>
      <c r="B9" t="inlineStr">
        <is>
          <t>avverkningsanmälan</t>
        </is>
      </c>
      <c r="C9" t="inlineStr">
        <is>
          <t>Föryngringsavverkning</t>
        </is>
      </c>
      <c r="D9" s="1" t="n">
        <v>46048</v>
      </c>
      <c r="E9" s="1" t="n">
        <v>46265</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46265</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46265</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4765-2026</t>
        </is>
      </c>
      <c r="B12" t="inlineStr">
        <is>
          <t>avverkningsanmälan</t>
        </is>
      </c>
      <c r="C12" t="inlineStr">
        <is>
          <t>Föryngringsavverkning</t>
        </is>
      </c>
      <c r="D12" s="1" t="n">
        <v>46048</v>
      </c>
      <c r="E12" s="1" t="n">
        <v>46265</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60706-2023</t>
        </is>
      </c>
      <c r="B13" t="inlineStr">
        <is>
          <t>avverkningsanmälan</t>
        </is>
      </c>
      <c r="C13" t="inlineStr">
        <is>
          <t>Föryngringsavverkning</t>
        </is>
      </c>
      <c r="D13" s="1" t="n">
        <v>45260</v>
      </c>
      <c r="E13" s="1" t="n">
        <v>46265</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46265</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54611-2025</t>
        </is>
      </c>
      <c r="B15" t="inlineStr">
        <is>
          <t>avverkningsanmälan</t>
        </is>
      </c>
      <c r="C15" t="inlineStr">
        <is>
          <t>Föryngringsavverkning</t>
        </is>
      </c>
      <c r="D15" s="1" t="n">
        <v>45966</v>
      </c>
      <c r="E15" s="1" t="n">
        <v>46265</v>
      </c>
      <c r="F15" t="inlineStr">
        <is>
          <t>VÄSTRA GÖTALANDS LÄN</t>
        </is>
      </c>
      <c r="G15" t="inlineStr">
        <is>
          <t>STENUNGSUND</t>
        </is>
      </c>
      <c r="I15" t="n">
        <v>10.8</v>
      </c>
      <c r="J15" t="n">
        <v>0</v>
      </c>
      <c r="K15" t="n">
        <v>1</v>
      </c>
      <c r="L15" t="n">
        <v>0</v>
      </c>
      <c r="M15" t="n">
        <v>0</v>
      </c>
      <c r="N15" t="n">
        <v>0</v>
      </c>
      <c r="O15" t="n">
        <v>0</v>
      </c>
      <c r="P15" t="n">
        <v>0</v>
      </c>
      <c r="Q15" t="n">
        <v>0</v>
      </c>
      <c r="R15" t="n">
        <v>0</v>
      </c>
      <c r="S15" t="n">
        <v>1</v>
      </c>
      <c r="T15" t="n">
        <v>1</v>
      </c>
      <c r="U15" t="n">
        <v>1</v>
      </c>
      <c r="V15" s="2" t="inlineStr">
        <is>
          <t>Blåmossa</t>
        </is>
      </c>
      <c r="W15">
        <f>HYPERLINK("https://klasma.github.io/Logging_1415/artfynd/A 54611-2025 artfynd.xlsx", "A 54611-2025")</f>
        <v/>
      </c>
      <c r="X15">
        <f>HYPERLINK("https://klasma.github.io/Logging_1415/kartor/A 54611-2025 karta.png", "A 54611-2025")</f>
        <v/>
      </c>
      <c r="Y15">
        <f>HYPERLINK("https://klasma.github.io/Logging_1415/kartor_geotiff/A 54611-2025 georefererad karta.tif", "A 54611-2025")</f>
        <v/>
      </c>
      <c r="AA15">
        <f>HYPERLINK("https://klasma.github.io/Logging_1415/klagomål/A 54611-2025 FSC-klagomål.docx", "A 54611-2025")</f>
        <v/>
      </c>
      <c r="AB15">
        <f>HYPERLINK("https://klasma.github.io/Logging_1415/klagomålsmail/A 54611-2025 FSC-klagomål mail.docx", "A 54611-2025")</f>
        <v/>
      </c>
      <c r="AC15">
        <f>HYPERLINK("https://klasma.github.io/Logging_1415/tillsyn/A 54611-2025 tillsynsbegäran.docx", "A 54611-2025")</f>
        <v/>
      </c>
      <c r="AD15">
        <f>HYPERLINK("https://klasma.github.io/Logging_1415/tillsynsmail/A 54611-2025 tillsynsbegäran mail.docx", "A 54611-2025")</f>
        <v/>
      </c>
    </row>
    <row r="16" ht="15" customHeight="1">
      <c r="A16" t="inlineStr">
        <is>
          <t>A 53156-2021</t>
        </is>
      </c>
      <c r="B16" t="inlineStr">
        <is>
          <t>avverkningsanmälan</t>
        </is>
      </c>
      <c r="C16" t="inlineStr">
        <is>
          <t>Föryngringsavverkning</t>
        </is>
      </c>
      <c r="D16" s="1" t="n">
        <v>44468</v>
      </c>
      <c r="E16" s="1" t="n">
        <v>46265</v>
      </c>
      <c r="F16" t="inlineStr">
        <is>
          <t>VÄSTRA GÖTALANDS LÄN</t>
        </is>
      </c>
      <c r="G16" t="inlineStr">
        <is>
          <t>STENUNGSUND</t>
        </is>
      </c>
      <c r="I16" t="n">
        <v>10.4</v>
      </c>
      <c r="J16" t="n">
        <v>1</v>
      </c>
      <c r="K16" t="n">
        <v>0</v>
      </c>
      <c r="L16" t="n">
        <v>0</v>
      </c>
      <c r="M16" t="n">
        <v>1</v>
      </c>
      <c r="N16" t="n">
        <v>0</v>
      </c>
      <c r="O16" t="n">
        <v>0</v>
      </c>
      <c r="P16" t="n">
        <v>0</v>
      </c>
      <c r="Q16" t="n">
        <v>1</v>
      </c>
      <c r="R16" t="n">
        <v>1</v>
      </c>
      <c r="S16" t="n">
        <v>1</v>
      </c>
      <c r="T16" t="n">
        <v>1</v>
      </c>
      <c r="U16" t="n">
        <v>1</v>
      </c>
      <c r="V16" s="2" t="inlineStr">
        <is>
          <t>Knärot</t>
        </is>
      </c>
      <c r="W16">
        <f>HYPERLINK("https://klasma.github.io/Logging_1415/artfynd/A 53156-2021 artfynd.xlsx", "A 53156-2021")</f>
        <v/>
      </c>
      <c r="X16">
        <f>HYPERLINK("https://klasma.github.io/Logging_1415/kartor/A 53156-2021 karta.png", "A 53156-2021")</f>
        <v/>
      </c>
      <c r="Y16">
        <f>HYPERLINK("https://klasma.github.io/Logging_1415/kartor_geotiff/A 53156-2021 georefererad karta.tif", "A 53156-2021")</f>
        <v/>
      </c>
      <c r="Z16">
        <f>HYPERLINK("https://klasma.github.io/Logging_1415/knärot/A 53156-2021 karta knärot.png", "A 53156-2021")</f>
        <v/>
      </c>
      <c r="AA16">
        <f>HYPERLINK("https://klasma.github.io/Logging_1415/klagomål/A 53156-2021 FSC-klagomål.docx", "A 53156-2021")</f>
        <v/>
      </c>
      <c r="AB16">
        <f>HYPERLINK("https://klasma.github.io/Logging_1415/klagomålsmail/A 53156-2021 FSC-klagomål mail.docx", "A 53156-2021")</f>
        <v/>
      </c>
      <c r="AC16">
        <f>HYPERLINK("https://klasma.github.io/Logging_1415/tillsyn/A 53156-2021 tillsynsbegäran.docx", "A 53156-2021")</f>
        <v/>
      </c>
      <c r="AD16">
        <f>HYPERLINK("https://klasma.github.io/Logging_1415/tillsynsmail/A 53156-2021 tillsynsbegäran mail.docx", "A 53156-2021")</f>
        <v/>
      </c>
    </row>
    <row r="17" ht="15" customHeight="1">
      <c r="A17" t="inlineStr">
        <is>
          <t>A 6147-2022</t>
        </is>
      </c>
      <c r="B17" t="inlineStr">
        <is>
          <t>avverkningsanmälan</t>
        </is>
      </c>
      <c r="C17" t="inlineStr">
        <is>
          <t>Föryngringsavverkning</t>
        </is>
      </c>
      <c r="D17" s="1" t="n">
        <v>44599</v>
      </c>
      <c r="E17" s="1" t="n">
        <v>46265</v>
      </c>
      <c r="F17" t="inlineStr">
        <is>
          <t>VÄSTRA GÖTALANDS LÄN</t>
        </is>
      </c>
      <c r="G17" t="inlineStr">
        <is>
          <t>STENUNGSUND</t>
        </is>
      </c>
      <c r="I17" t="n">
        <v>2.2</v>
      </c>
      <c r="J17" t="n">
        <v>0</v>
      </c>
      <c r="K17" t="n">
        <v>0</v>
      </c>
      <c r="L17" t="n">
        <v>0</v>
      </c>
      <c r="M17" t="n">
        <v>1</v>
      </c>
      <c r="N17" t="n">
        <v>0</v>
      </c>
      <c r="O17" t="n">
        <v>0</v>
      </c>
      <c r="P17" t="n">
        <v>0</v>
      </c>
      <c r="Q17" t="n">
        <v>1</v>
      </c>
      <c r="R17" t="n">
        <v>1</v>
      </c>
      <c r="S17" t="n">
        <v>1</v>
      </c>
      <c r="T17" t="n">
        <v>1</v>
      </c>
      <c r="U17" t="n">
        <v>0</v>
      </c>
      <c r="V17" s="2" t="inlineStr">
        <is>
          <t>Brunfläckig pärlemorfjäril</t>
        </is>
      </c>
      <c r="W17">
        <f>HYPERLINK("https://klasma.github.io/Logging_1415/artfynd/A 6147-2022 artfynd.xlsx", "A 6147-2022")</f>
        <v/>
      </c>
      <c r="X17">
        <f>HYPERLINK("https://klasma.github.io/Logging_1415/kartor/A 6147-2022 karta.png", "A 6147-2022")</f>
        <v/>
      </c>
      <c r="Y17">
        <f>HYPERLINK("https://klasma.github.io/Logging_1415/kartor_geotiff/A 6147-2022 georefererad karta.tif", "A 6147-2022")</f>
        <v/>
      </c>
      <c r="AA17">
        <f>HYPERLINK("https://klasma.github.io/Logging_1415/klagomål/A 6147-2022 FSC-klagomål.docx", "A 6147-2022")</f>
        <v/>
      </c>
      <c r="AB17">
        <f>HYPERLINK("https://klasma.github.io/Logging_1415/klagomålsmail/A 6147-2022 FSC-klagomål mail.docx", "A 6147-2022")</f>
        <v/>
      </c>
      <c r="AC17">
        <f>HYPERLINK("https://klasma.github.io/Logging_1415/tillsyn/A 6147-2022 tillsynsbegäran.docx", "A 6147-2022")</f>
        <v/>
      </c>
      <c r="AD17">
        <f>HYPERLINK("https://klasma.github.io/Logging_1415/tillsynsmail/A 6147-2022 tillsynsbegäran mail.docx", "A 6147-2022")</f>
        <v/>
      </c>
    </row>
    <row r="18" ht="15" customHeight="1">
      <c r="A18" t="inlineStr">
        <is>
          <t>A 8576-2023</t>
        </is>
      </c>
      <c r="B18" t="inlineStr">
        <is>
          <t>avverkningsanmälan</t>
        </is>
      </c>
      <c r="C18" t="inlineStr">
        <is>
          <t>Föryngringsavverkning</t>
        </is>
      </c>
      <c r="D18" s="1" t="n">
        <v>44977</v>
      </c>
      <c r="E18" s="1" t="n">
        <v>46265</v>
      </c>
      <c r="F18" t="inlineStr">
        <is>
          <t>VÄSTRA GÖTALANDS LÄN</t>
        </is>
      </c>
      <c r="G18" t="inlineStr">
        <is>
          <t>STENUNGSUND</t>
        </is>
      </c>
      <c r="I18" t="n">
        <v>2.1</v>
      </c>
      <c r="J18" t="n">
        <v>1</v>
      </c>
      <c r="K18" t="n">
        <v>0</v>
      </c>
      <c r="L18" t="n">
        <v>0</v>
      </c>
      <c r="M18" t="n">
        <v>0</v>
      </c>
      <c r="N18" t="n">
        <v>0</v>
      </c>
      <c r="O18" t="n">
        <v>0</v>
      </c>
      <c r="P18" t="n">
        <v>0</v>
      </c>
      <c r="Q18" t="n">
        <v>0</v>
      </c>
      <c r="R18" t="n">
        <v>0</v>
      </c>
      <c r="S18" t="n">
        <v>1</v>
      </c>
      <c r="T18" t="n">
        <v>1</v>
      </c>
      <c r="U18" t="n">
        <v>1</v>
      </c>
      <c r="V18" s="2" t="inlineStr">
        <is>
          <t>Kungsfågel</t>
        </is>
      </c>
      <c r="W18">
        <f>HYPERLINK("https://klasma.github.io/Logging_1415/artfynd/A 8576-2023 artfynd.xlsx", "A 8576-2023")</f>
        <v/>
      </c>
      <c r="X18">
        <f>HYPERLINK("https://klasma.github.io/Logging_1415/kartor/A 8576-2023 karta.png", "A 8576-2023")</f>
        <v/>
      </c>
      <c r="Y18">
        <f>HYPERLINK("https://klasma.github.io/Logging_1415/kartor_geotiff/A 8576-2023 georefererad karta.tif", "A 8576-2023")</f>
        <v/>
      </c>
      <c r="AA18">
        <f>HYPERLINK("https://klasma.github.io/Logging_1415/klagomål/A 8576-2023 FSC-klagomål.docx", "A 8576-2023")</f>
        <v/>
      </c>
      <c r="AB18">
        <f>HYPERLINK("https://klasma.github.io/Logging_1415/klagomålsmail/A 8576-2023 FSC-klagomål mail.docx", "A 8576-2023")</f>
        <v/>
      </c>
      <c r="AC18">
        <f>HYPERLINK("https://klasma.github.io/Logging_1415/tillsyn/A 8576-2023 tillsynsbegäran.docx", "A 8576-2023")</f>
        <v/>
      </c>
      <c r="AD18">
        <f>HYPERLINK("https://klasma.github.io/Logging_1415/tillsynsmail/A 8576-2023 tillsynsbegäran mail.docx", "A 8576-2023")</f>
        <v/>
      </c>
    </row>
    <row r="19" ht="15" customHeight="1">
      <c r="A19" t="inlineStr">
        <is>
          <t>A 37539-2025</t>
        </is>
      </c>
      <c r="B19" t="inlineStr">
        <is>
          <t>avverkningsanmälan</t>
        </is>
      </c>
      <c r="C19" t="inlineStr">
        <is>
          <t>Föryngringsavverkning</t>
        </is>
      </c>
      <c r="D19" s="1" t="n">
        <v>45879</v>
      </c>
      <c r="E19" s="1" t="n">
        <v>46265</v>
      </c>
      <c r="F19" t="inlineStr">
        <is>
          <t>VÄSTRA GÖTALANDS LÄN</t>
        </is>
      </c>
      <c r="G19" t="inlineStr">
        <is>
          <t>STENUNGSUND</t>
        </is>
      </c>
      <c r="I19" t="n">
        <v>1.9</v>
      </c>
      <c r="J19" t="n">
        <v>0</v>
      </c>
      <c r="K19" t="n">
        <v>1</v>
      </c>
      <c r="L19" t="n">
        <v>0</v>
      </c>
      <c r="M19" t="n">
        <v>0</v>
      </c>
      <c r="N19" t="n">
        <v>0</v>
      </c>
      <c r="O19" t="n">
        <v>0</v>
      </c>
      <c r="P19" t="n">
        <v>0</v>
      </c>
      <c r="Q19" t="n">
        <v>0</v>
      </c>
      <c r="R19" t="n">
        <v>0</v>
      </c>
      <c r="S19" t="n">
        <v>1</v>
      </c>
      <c r="T19" t="n">
        <v>1</v>
      </c>
      <c r="U19" t="n">
        <v>0</v>
      </c>
      <c r="V19" s="2" t="inlineStr">
        <is>
          <t>Murgröna</t>
        </is>
      </c>
      <c r="W19">
        <f>HYPERLINK("https://klasma.github.io/Logging_1415/artfynd/A 37539-2025 artfynd.xlsx", "A 37539-2025")</f>
        <v/>
      </c>
      <c r="X19">
        <f>HYPERLINK("https://klasma.github.io/Logging_1415/kartor/A 37539-2025 karta.png", "A 37539-2025")</f>
        <v/>
      </c>
      <c r="Y19">
        <f>HYPERLINK("https://klasma.github.io/Logging_1415/kartor_geotiff/A 37539-2025 georefererad karta.tif", "A 37539-2025")</f>
        <v/>
      </c>
      <c r="AA19">
        <f>HYPERLINK("https://klasma.github.io/Logging_1415/klagomål/A 37539-2025 FSC-klagomål.docx", "A 37539-2025")</f>
        <v/>
      </c>
      <c r="AB19">
        <f>HYPERLINK("https://klasma.github.io/Logging_1415/klagomålsmail/A 37539-2025 FSC-klagomål mail.docx", "A 37539-2025")</f>
        <v/>
      </c>
      <c r="AC19">
        <f>HYPERLINK("https://klasma.github.io/Logging_1415/tillsyn/A 37539-2025 tillsynsbegäran.docx", "A 37539-2025")</f>
        <v/>
      </c>
      <c r="AD19">
        <f>HYPERLINK("https://klasma.github.io/Logging_1415/tillsynsmail/A 37539-2025 tillsynsbegäran mail.docx", "A 37539-2025")</f>
        <v/>
      </c>
    </row>
    <row r="20" ht="15" customHeight="1">
      <c r="A20" t="inlineStr">
        <is>
          <t>A 4769-2026</t>
        </is>
      </c>
      <c r="B20" t="inlineStr">
        <is>
          <t>avverkningsanmälan</t>
        </is>
      </c>
      <c r="C20" t="inlineStr">
        <is>
          <t>Föryngringsavverkning</t>
        </is>
      </c>
      <c r="D20" s="1" t="n">
        <v>46048</v>
      </c>
      <c r="E20" s="1" t="n">
        <v>46265</v>
      </c>
      <c r="F20" t="inlineStr">
        <is>
          <t>VÄSTRA GÖTALANDS LÄN</t>
        </is>
      </c>
      <c r="G20" t="inlineStr">
        <is>
          <t>STENUNGSUND</t>
        </is>
      </c>
      <c r="I20" t="n">
        <v>1</v>
      </c>
      <c r="J20" t="n">
        <v>1</v>
      </c>
      <c r="K20" t="n">
        <v>0</v>
      </c>
      <c r="L20" t="n">
        <v>0</v>
      </c>
      <c r="M20" t="n">
        <v>0</v>
      </c>
      <c r="N20" t="n">
        <v>0</v>
      </c>
      <c r="O20" t="n">
        <v>0</v>
      </c>
      <c r="P20" t="n">
        <v>0</v>
      </c>
      <c r="Q20" t="n">
        <v>0</v>
      </c>
      <c r="R20" t="n">
        <v>0</v>
      </c>
      <c r="S20" t="n">
        <v>1</v>
      </c>
      <c r="T20" t="n">
        <v>1</v>
      </c>
      <c r="U20" t="n">
        <v>0</v>
      </c>
      <c r="V20" s="2" t="inlineStr">
        <is>
          <t>Kråka</t>
        </is>
      </c>
      <c r="W20">
        <f>HYPERLINK("https://klasma.github.io/Logging_1415/artfynd/A 4769-2026 artfynd.xlsx", "A 4769-2026")</f>
        <v/>
      </c>
      <c r="X20">
        <f>HYPERLINK("https://klasma.github.io/Logging_1415/kartor/A 4769-2026 karta.png", "A 4769-2026")</f>
        <v/>
      </c>
      <c r="Y20">
        <f>HYPERLINK("https://klasma.github.io/Logging_1415/kartor_geotiff/A 4769-2026 georefererad karta.tif", "A 4769-2026")</f>
        <v/>
      </c>
      <c r="AA20">
        <f>HYPERLINK("https://klasma.github.io/Logging_1415/klagomål/A 4769-2026 FSC-klagomål.docx", "A 4769-2026")</f>
        <v/>
      </c>
      <c r="AB20">
        <f>HYPERLINK("https://klasma.github.io/Logging_1415/klagomålsmail/A 4769-2026 FSC-klagomål mail.docx", "A 4769-2026")</f>
        <v/>
      </c>
      <c r="AC20">
        <f>HYPERLINK("https://klasma.github.io/Logging_1415/tillsyn/A 4769-2026 tillsynsbegäran.docx", "A 4769-2026")</f>
        <v/>
      </c>
      <c r="AD20">
        <f>HYPERLINK("https://klasma.github.io/Logging_1415/tillsynsmail/A 4769-2026 tillsynsbegäran mail.docx", "A 4769-2026")</f>
        <v/>
      </c>
    </row>
    <row r="21" ht="15" customHeight="1">
      <c r="A21" t="inlineStr">
        <is>
          <t>A 17346-2026</t>
        </is>
      </c>
      <c r="B21" t="inlineStr">
        <is>
          <t>avverkningsanmälan</t>
        </is>
      </c>
      <c r="C21" t="inlineStr">
        <is>
          <t>Föryngringsavverkning</t>
        </is>
      </c>
      <c r="D21" s="1" t="n">
        <v>46119</v>
      </c>
      <c r="E21" s="1" t="n">
        <v>46265</v>
      </c>
      <c r="F21" t="inlineStr">
        <is>
          <t>VÄSTRA GÖTALANDS LÄN</t>
        </is>
      </c>
      <c r="G21" t="inlineStr">
        <is>
          <t>STENUNGSUND</t>
        </is>
      </c>
      <c r="I21" t="n">
        <v>3.9</v>
      </c>
      <c r="J21" t="n">
        <v>1</v>
      </c>
      <c r="K21" t="n">
        <v>0</v>
      </c>
      <c r="L21" t="n">
        <v>0</v>
      </c>
      <c r="M21" t="n">
        <v>0</v>
      </c>
      <c r="N21" t="n">
        <v>0</v>
      </c>
      <c r="O21" t="n">
        <v>0</v>
      </c>
      <c r="P21" t="n">
        <v>0</v>
      </c>
      <c r="Q21" t="n">
        <v>0</v>
      </c>
      <c r="R21" t="n">
        <v>0</v>
      </c>
      <c r="S21" t="n">
        <v>1</v>
      </c>
      <c r="T21" t="n">
        <v>1</v>
      </c>
      <c r="U21" t="n">
        <v>1</v>
      </c>
      <c r="V21" s="2" t="inlineStr">
        <is>
          <t>Spillkråka</t>
        </is>
      </c>
      <c r="W21">
        <f>HYPERLINK("https://klasma.github.io/Logging_1415/artfynd/A 17346-2026 artfynd.xlsx", "A 17346-2026")</f>
        <v/>
      </c>
      <c r="X21">
        <f>HYPERLINK("https://klasma.github.io/Logging_1415/kartor/A 17346-2026 karta.png", "A 17346-2026")</f>
        <v/>
      </c>
      <c r="Y21">
        <f>HYPERLINK("https://klasma.github.io/Logging_1415/kartor_geotiff/A 17346-2026 georefererad karta.tif", "A 17346-2026")</f>
        <v/>
      </c>
      <c r="AA21">
        <f>HYPERLINK("https://klasma.github.io/Logging_1415/klagomål/A 17346-2026 FSC-klagomål.docx", "A 17346-2026")</f>
        <v/>
      </c>
      <c r="AB21">
        <f>HYPERLINK("https://klasma.github.io/Logging_1415/klagomålsmail/A 17346-2026 FSC-klagomål mail.docx", "A 17346-2026")</f>
        <v/>
      </c>
      <c r="AC21">
        <f>HYPERLINK("https://klasma.github.io/Logging_1415/tillsyn/A 17346-2026 tillsynsbegäran.docx", "A 17346-2026")</f>
        <v/>
      </c>
      <c r="AD21">
        <f>HYPERLINK("https://klasma.github.io/Logging_1415/tillsynsmail/A 17346-2026 tillsynsbegäran mail.docx", "A 17346-2026")</f>
        <v/>
      </c>
      <c r="AE21">
        <f>HYPERLINK("https://klasma.github.io/Logging_1415/fåglar/A 17346-2026 prioriterade fågelarter.docx", "A 17346-2026")</f>
        <v/>
      </c>
    </row>
    <row r="22" ht="15" customHeight="1">
      <c r="A22" t="inlineStr">
        <is>
          <t>A 45000-2024</t>
        </is>
      </c>
      <c r="B22" t="inlineStr">
        <is>
          <t>avverkningsanmälan</t>
        </is>
      </c>
      <c r="C22" t="inlineStr">
        <is>
          <t>Föryngringsavverkning</t>
        </is>
      </c>
      <c r="D22" s="1" t="n">
        <v>45575</v>
      </c>
      <c r="E22" s="1" t="n">
        <v>46265</v>
      </c>
      <c r="F22" t="inlineStr">
        <is>
          <t>VÄSTRA GÖTALANDS LÄN</t>
        </is>
      </c>
      <c r="G22" t="inlineStr">
        <is>
          <t>STENUNGSUND</t>
        </is>
      </c>
      <c r="I22" t="n">
        <v>1.2</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HYPERLINK("https://klasma.github.io/Logging_1415/artfynd/A 45000-2024 artfynd.xlsx", "A 45000-2024")</f>
        <v/>
      </c>
      <c r="X22">
        <f>HYPERLINK("https://klasma.github.io/Logging_1415/kartor/A 45000-2024 karta.png", "A 45000-2024")</f>
        <v/>
      </c>
      <c r="Y22">
        <f>HYPERLINK("https://klasma.github.io/Logging_1415/kartor_geotiff/A 45000-2024 georefererad karta.tif", "A 45000-2024")</f>
        <v/>
      </c>
      <c r="AA22">
        <f>HYPERLINK("https://klasma.github.io/Logging_1415/klagomål/A 45000-2024 FSC-klagomål.docx", "A 45000-2024")</f>
        <v/>
      </c>
      <c r="AB22">
        <f>HYPERLINK("https://klasma.github.io/Logging_1415/klagomålsmail/A 45000-2024 FSC-klagomål mail.docx", "A 45000-2024")</f>
        <v/>
      </c>
      <c r="AC22">
        <f>HYPERLINK("https://klasma.github.io/Logging_1415/tillsyn/A 45000-2024 tillsynsbegäran.docx", "A 45000-2024")</f>
        <v/>
      </c>
      <c r="AD22">
        <f>HYPERLINK("https://klasma.github.io/Logging_1415/tillsynsmail/A 45000-2024 tillsynsbegäran mail.docx", "A 45000-2024")</f>
        <v/>
      </c>
    </row>
    <row r="23" ht="15" customHeight="1">
      <c r="A23" t="inlineStr">
        <is>
          <t>A 12075-2022</t>
        </is>
      </c>
      <c r="B23" t="inlineStr">
        <is>
          <t>avverkningsanmälan</t>
        </is>
      </c>
      <c r="C23" t="inlineStr">
        <is>
          <t>Föryngringsavverkning</t>
        </is>
      </c>
      <c r="D23" s="1" t="n">
        <v>44636</v>
      </c>
      <c r="E23" s="1" t="n">
        <v>46265</v>
      </c>
      <c r="F23" t="inlineStr">
        <is>
          <t>VÄSTRA GÖTALANDS LÄN</t>
        </is>
      </c>
      <c r="G23" t="inlineStr">
        <is>
          <t>STENUNGSUND</t>
        </is>
      </c>
      <c r="I23" t="n">
        <v>7.5</v>
      </c>
      <c r="J23" t="n">
        <v>1</v>
      </c>
      <c r="K23" t="n">
        <v>0</v>
      </c>
      <c r="L23" t="n">
        <v>0</v>
      </c>
      <c r="M23" t="n">
        <v>1</v>
      </c>
      <c r="N23" t="n">
        <v>0</v>
      </c>
      <c r="O23" t="n">
        <v>0</v>
      </c>
      <c r="P23" t="n">
        <v>0</v>
      </c>
      <c r="Q23" t="n">
        <v>1</v>
      </c>
      <c r="R23" t="n">
        <v>1</v>
      </c>
      <c r="S23" t="n">
        <v>1</v>
      </c>
      <c r="T23" t="n">
        <v>1</v>
      </c>
      <c r="U23" t="n">
        <v>1</v>
      </c>
      <c r="V23" s="2" t="inlineStr">
        <is>
          <t>Bredgentiana</t>
        </is>
      </c>
      <c r="W23">
        <f>HYPERLINK("https://klasma.github.io/Logging_1415/artfynd/A 12075-2022 artfynd.xlsx", "A 12075-2022")</f>
        <v/>
      </c>
      <c r="X23">
        <f>HYPERLINK("https://klasma.github.io/Logging_1415/kartor/A 12075-2022 karta.png", "A 12075-2022")</f>
        <v/>
      </c>
      <c r="Y23">
        <f>HYPERLINK("https://klasma.github.io/Logging_1415/kartor_geotiff/A 12075-2022 georefererad karta.tif", "A 12075-2022")</f>
        <v/>
      </c>
      <c r="AA23">
        <f>HYPERLINK("https://klasma.github.io/Logging_1415/klagomål/A 12075-2022 FSC-klagomål.docx", "A 12075-2022")</f>
        <v/>
      </c>
      <c r="AB23">
        <f>HYPERLINK("https://klasma.github.io/Logging_1415/klagomålsmail/A 12075-2022 FSC-klagomål mail.docx", "A 12075-2022")</f>
        <v/>
      </c>
      <c r="AC23">
        <f>HYPERLINK("https://klasma.github.io/Logging_1415/tillsyn/A 12075-2022 tillsynsbegäran.docx", "A 12075-2022")</f>
        <v/>
      </c>
      <c r="AD23">
        <f>HYPERLINK("https://klasma.github.io/Logging_1415/tillsynsmail/A 12075-2022 tillsynsbegäran mail.docx", "A 12075-2022")</f>
        <v/>
      </c>
    </row>
    <row r="24" ht="15" customHeight="1">
      <c r="A24" t="inlineStr">
        <is>
          <t>A 25125-2026</t>
        </is>
      </c>
      <c r="B24" t="inlineStr">
        <is>
          <t>avverkningsanmälan</t>
        </is>
      </c>
      <c r="C24" t="inlineStr">
        <is>
          <t>Föryngringsavverkning</t>
        </is>
      </c>
      <c r="D24" s="1" t="n">
        <v>46175</v>
      </c>
      <c r="E24" s="1" t="n">
        <v>46265</v>
      </c>
      <c r="F24" t="inlineStr">
        <is>
          <t>VÄSTRA GÖTALANDS LÄN</t>
        </is>
      </c>
      <c r="G24" t="inlineStr">
        <is>
          <t>STENUNGSUND</t>
        </is>
      </c>
      <c r="I24" t="n">
        <v>3.3</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HYPERLINK("https://klasma.github.io/Logging_1415/artfynd/A 25125-2026 artfynd.xlsx", "A 25125-2026")</f>
        <v/>
      </c>
      <c r="X24">
        <f>HYPERLINK("https://klasma.github.io/Logging_1415/kartor/A 25125-2026 karta.png", "A 25125-2026")</f>
        <v/>
      </c>
      <c r="Y24">
        <f>HYPERLINK("https://klasma.github.io/Logging_1415/kartor_geotiff/A 25125-2026 georefererad karta.tif", "A 25125-2026")</f>
        <v/>
      </c>
      <c r="AA24">
        <f>HYPERLINK("https://klasma.github.io/Logging_1415/klagomål/A 25125-2026 FSC-klagomål.docx", "A 25125-2026")</f>
        <v/>
      </c>
      <c r="AB24">
        <f>HYPERLINK("https://klasma.github.io/Logging_1415/klagomålsmail/A 25125-2026 FSC-klagomål mail.docx", "A 25125-2026")</f>
        <v/>
      </c>
      <c r="AC24">
        <f>HYPERLINK("https://klasma.github.io/Logging_1415/tillsyn/A 25125-2026 tillsynsbegäran.docx", "A 25125-2026")</f>
        <v/>
      </c>
      <c r="AD24">
        <f>HYPERLINK("https://klasma.github.io/Logging_1415/tillsynsmail/A 25125-2026 tillsynsbegäran mail.docx", "A 25125-2026")</f>
        <v/>
      </c>
    </row>
    <row r="25" ht="15" customHeight="1">
      <c r="A25" t="inlineStr">
        <is>
          <t>A 31696-2026</t>
        </is>
      </c>
      <c r="B25" t="inlineStr">
        <is>
          <t>avverkningsanmälan</t>
        </is>
      </c>
      <c r="C25" t="inlineStr">
        <is>
          <t>Föryngringsavverkning</t>
        </is>
      </c>
      <c r="D25" s="1" t="n">
        <v>46226</v>
      </c>
      <c r="E25" s="1" t="n">
        <v>46265</v>
      </c>
      <c r="F25" t="inlineStr">
        <is>
          <t>VÄSTRA GÖTALANDS LÄN</t>
        </is>
      </c>
      <c r="G25" t="inlineStr">
        <is>
          <t>STENUNGSUND</t>
        </is>
      </c>
      <c r="I25" t="n">
        <v>5.8</v>
      </c>
      <c r="J25" t="n">
        <v>0</v>
      </c>
      <c r="K25" t="n">
        <v>1</v>
      </c>
      <c r="L25" t="n">
        <v>0</v>
      </c>
      <c r="M25" t="n">
        <v>0</v>
      </c>
      <c r="N25" t="n">
        <v>0</v>
      </c>
      <c r="O25" t="n">
        <v>0</v>
      </c>
      <c r="P25" t="n">
        <v>0</v>
      </c>
      <c r="Q25" t="n">
        <v>0</v>
      </c>
      <c r="R25" t="n">
        <v>0</v>
      </c>
      <c r="S25" t="n">
        <v>1</v>
      </c>
      <c r="T25" t="n">
        <v>1</v>
      </c>
      <c r="U25" t="n">
        <v>0</v>
      </c>
      <c r="V25" s="2" t="inlineStr">
        <is>
          <t>Blanksvart trämyra</t>
        </is>
      </c>
      <c r="W25">
        <f>HYPERLINK("https://klasma.github.io/Logging_1415/artfynd/A 31696-2026 artfynd.xlsx", "A 31696-2026")</f>
        <v/>
      </c>
      <c r="X25">
        <f>HYPERLINK("https://klasma.github.io/Logging_1415/kartor/A 31696-2026 karta.png", "A 31696-2026")</f>
        <v/>
      </c>
      <c r="Y25">
        <f>HYPERLINK("https://klasma.github.io/Logging_1415/kartor_geotiff/A 31696-2026 georefererad karta.tif", "A 31696-2026")</f>
        <v/>
      </c>
      <c r="AA25">
        <f>HYPERLINK("https://klasma.github.io/Logging_1415/klagomål/A 31696-2026 FSC-klagomål.docx", "A 31696-2026")</f>
        <v/>
      </c>
      <c r="AB25">
        <f>HYPERLINK("https://klasma.github.io/Logging_1415/klagomålsmail/A 31696-2026 FSC-klagomål mail.docx", "A 31696-2026")</f>
        <v/>
      </c>
      <c r="AC25">
        <f>HYPERLINK("https://klasma.github.io/Logging_1415/tillsyn/A 31696-2026 tillsynsbegäran.docx", "A 31696-2026")</f>
        <v/>
      </c>
      <c r="AD25">
        <f>HYPERLINK("https://klasma.github.io/Logging_1415/tillsynsmail/A 31696-2026 tillsynsbegäran mail.docx", "A 31696-2026")</f>
        <v/>
      </c>
    </row>
    <row r="26" ht="15" customHeight="1">
      <c r="A26" t="inlineStr">
        <is>
          <t>A 48215-2022</t>
        </is>
      </c>
      <c r="B26" t="inlineStr">
        <is>
          <t>avverkningsanmälan</t>
        </is>
      </c>
      <c r="C26" t="inlineStr">
        <is>
          <t>Föryngringsavverkning</t>
        </is>
      </c>
      <c r="D26" s="1" t="n">
        <v>44858</v>
      </c>
      <c r="E26" s="1" t="n">
        <v>46265</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46265</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46265</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46265</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46265</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46265</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46265</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62220-2023</t>
        </is>
      </c>
      <c r="B33" t="inlineStr">
        <is>
          <t>avverkningsanmälan</t>
        </is>
      </c>
      <c r="C33" t="inlineStr">
        <is>
          <t>Föryngringsavverkning</t>
        </is>
      </c>
      <c r="D33" s="1" t="n">
        <v>45267</v>
      </c>
      <c r="E33" s="1" t="n">
        <v>46265</v>
      </c>
      <c r="F33" t="inlineStr">
        <is>
          <t>VÄSTRA GÖTALANDS LÄN</t>
        </is>
      </c>
      <c r="G33" t="inlineStr">
        <is>
          <t>STENUNGSUND</t>
        </is>
      </c>
      <c r="I33" t="n">
        <v>7.6</v>
      </c>
      <c r="J33" t="n">
        <v>0</v>
      </c>
      <c r="K33" t="n">
        <v>0</v>
      </c>
      <c r="L33" t="n">
        <v>0</v>
      </c>
      <c r="M33" t="n">
        <v>0</v>
      </c>
      <c r="N33" t="n">
        <v>0</v>
      </c>
      <c r="O33" t="n">
        <v>0</v>
      </c>
      <c r="P33" t="n">
        <v>0</v>
      </c>
      <c r="Q33" t="n">
        <v>0</v>
      </c>
      <c r="R33" t="n">
        <v>0</v>
      </c>
      <c r="S33" t="n">
        <v>0</v>
      </c>
      <c r="T33" t="n">
        <v>0</v>
      </c>
      <c r="U33" t="n">
        <v>0</v>
      </c>
      <c r="V33" s="2" t="inlineStr"/>
    </row>
    <row r="34" ht="15" customHeight="1">
      <c r="A34" t="inlineStr">
        <is>
          <t>A 10472-2024</t>
        </is>
      </c>
      <c r="B34" t="inlineStr">
        <is>
          <t>avverkningsanmälan</t>
        </is>
      </c>
      <c r="C34" t="inlineStr">
        <is>
          <t>Föryngringsavverkning</t>
        </is>
      </c>
      <c r="D34" s="1" t="n">
        <v>45366</v>
      </c>
      <c r="E34" s="1" t="n">
        <v>46265</v>
      </c>
      <c r="F34" t="inlineStr">
        <is>
          <t>VÄSTRA GÖTALANDS LÄN</t>
        </is>
      </c>
      <c r="G34" t="inlineStr">
        <is>
          <t>STENUNGSUND</t>
        </is>
      </c>
      <c r="I34" t="n">
        <v>6.3</v>
      </c>
      <c r="J34" t="n">
        <v>0</v>
      </c>
      <c r="K34" t="n">
        <v>0</v>
      </c>
      <c r="L34" t="n">
        <v>0</v>
      </c>
      <c r="M34" t="n">
        <v>0</v>
      </c>
      <c r="N34" t="n">
        <v>0</v>
      </c>
      <c r="O34" t="n">
        <v>0</v>
      </c>
      <c r="P34" t="n">
        <v>0</v>
      </c>
      <c r="Q34" t="n">
        <v>0</v>
      </c>
      <c r="R34" t="n">
        <v>0</v>
      </c>
      <c r="S34" t="n">
        <v>0</v>
      </c>
      <c r="T34" t="n">
        <v>0</v>
      </c>
      <c r="U34" t="n">
        <v>0</v>
      </c>
      <c r="V34" s="2" t="inlineStr"/>
    </row>
    <row r="35" ht="15" customHeight="1">
      <c r="A35" t="inlineStr">
        <is>
          <t>A 27030-2023</t>
        </is>
      </c>
      <c r="B35" t="inlineStr">
        <is>
          <t>avverkningsanmälan</t>
        </is>
      </c>
      <c r="C35" t="inlineStr">
        <is>
          <t>Föryngringsavverkning</t>
        </is>
      </c>
      <c r="D35" s="1" t="n">
        <v>45095</v>
      </c>
      <c r="E35" s="1" t="n">
        <v>46265</v>
      </c>
      <c r="F35" t="inlineStr">
        <is>
          <t>VÄSTRA GÖTALANDS LÄN</t>
        </is>
      </c>
      <c r="G35" t="inlineStr">
        <is>
          <t>STENUNGSUND</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30175-2022</t>
        </is>
      </c>
      <c r="B36" t="inlineStr">
        <is>
          <t>avverkningsanmälan</t>
        </is>
      </c>
      <c r="C36" t="inlineStr">
        <is>
          <t>Föryngringsavverkning</t>
        </is>
      </c>
      <c r="D36" s="1" t="n">
        <v>44757</v>
      </c>
      <c r="E36" s="1" t="n">
        <v>46265</v>
      </c>
      <c r="F36" t="inlineStr">
        <is>
          <t>VÄSTRA GÖTALANDS LÄN</t>
        </is>
      </c>
      <c r="G36" t="inlineStr">
        <is>
          <t>STENUNGSUND</t>
        </is>
      </c>
      <c r="I36" t="n">
        <v>2.2</v>
      </c>
      <c r="J36" t="n">
        <v>0</v>
      </c>
      <c r="K36" t="n">
        <v>0</v>
      </c>
      <c r="L36" t="n">
        <v>0</v>
      </c>
      <c r="M36" t="n">
        <v>0</v>
      </c>
      <c r="N36" t="n">
        <v>0</v>
      </c>
      <c r="O36" t="n">
        <v>0</v>
      </c>
      <c r="P36" t="n">
        <v>0</v>
      </c>
      <c r="Q36" t="n">
        <v>0</v>
      </c>
      <c r="R36" t="n">
        <v>0</v>
      </c>
      <c r="S36" t="n">
        <v>0</v>
      </c>
      <c r="T36" t="n">
        <v>0</v>
      </c>
      <c r="U36" t="n">
        <v>0</v>
      </c>
      <c r="V36" s="2" t="inlineStr"/>
    </row>
    <row r="37" ht="15" customHeight="1">
      <c r="A37" t="inlineStr">
        <is>
          <t>A 33011-2022</t>
        </is>
      </c>
      <c r="B37" t="inlineStr">
        <is>
          <t>avverkningsanmälan</t>
        </is>
      </c>
      <c r="C37" t="inlineStr">
        <is>
          <t>Föryngringsavverkning</t>
        </is>
      </c>
      <c r="D37" s="1" t="n">
        <v>44785</v>
      </c>
      <c r="E37" s="1" t="n">
        <v>46265</v>
      </c>
      <c r="F37" t="inlineStr">
        <is>
          <t>VÄSTRA GÖTALANDS LÄN</t>
        </is>
      </c>
      <c r="G37" t="inlineStr">
        <is>
          <t>STENUNGSUND</t>
        </is>
      </c>
      <c r="I37" t="n">
        <v>2.6</v>
      </c>
      <c r="J37" t="n">
        <v>0</v>
      </c>
      <c r="K37" t="n">
        <v>0</v>
      </c>
      <c r="L37" t="n">
        <v>0</v>
      </c>
      <c r="M37" t="n">
        <v>0</v>
      </c>
      <c r="N37" t="n">
        <v>0</v>
      </c>
      <c r="O37" t="n">
        <v>0</v>
      </c>
      <c r="P37" t="n">
        <v>0</v>
      </c>
      <c r="Q37" t="n">
        <v>0</v>
      </c>
      <c r="R37" t="n">
        <v>0</v>
      </c>
      <c r="S37" t="n">
        <v>0</v>
      </c>
      <c r="T37" t="n">
        <v>0</v>
      </c>
      <c r="U37" t="n">
        <v>0</v>
      </c>
      <c r="V37" s="2" t="inlineStr"/>
    </row>
    <row r="38" ht="15" customHeight="1">
      <c r="A38" t="inlineStr">
        <is>
          <t>A 54247-2025</t>
        </is>
      </c>
      <c r="B38" t="inlineStr">
        <is>
          <t>avverkningsanmälan</t>
        </is>
      </c>
      <c r="C38" t="inlineStr">
        <is>
          <t>Föryngringsavverkning</t>
        </is>
      </c>
      <c r="D38" s="1" t="n">
        <v>45964</v>
      </c>
      <c r="E38" s="1" t="n">
        <v>46265</v>
      </c>
      <c r="F38" t="inlineStr">
        <is>
          <t>VÄSTRA GÖTALANDS LÄN</t>
        </is>
      </c>
      <c r="G38" t="inlineStr">
        <is>
          <t>STENUNGSUND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38996-2025</t>
        </is>
      </c>
      <c r="B39" t="inlineStr">
        <is>
          <t>avverkningsanmälan</t>
        </is>
      </c>
      <c r="C39" t="inlineStr">
        <is>
          <t>Föryngringsavverkning</t>
        </is>
      </c>
      <c r="D39" s="1" t="n">
        <v>45888</v>
      </c>
      <c r="E39" s="1" t="n">
        <v>46265</v>
      </c>
      <c r="F39" t="inlineStr">
        <is>
          <t>VÄSTRA GÖTALANDS LÄN</t>
        </is>
      </c>
      <c r="G39" t="inlineStr">
        <is>
          <t>STENUNGSUND</t>
        </is>
      </c>
      <c r="I39" t="n">
        <v>2.3</v>
      </c>
      <c r="J39" t="n">
        <v>0</v>
      </c>
      <c r="K39" t="n">
        <v>0</v>
      </c>
      <c r="L39" t="n">
        <v>0</v>
      </c>
      <c r="M39" t="n">
        <v>0</v>
      </c>
      <c r="N39" t="n">
        <v>0</v>
      </c>
      <c r="O39" t="n">
        <v>0</v>
      </c>
      <c r="P39" t="n">
        <v>0</v>
      </c>
      <c r="Q39" t="n">
        <v>0</v>
      </c>
      <c r="R39" t="n">
        <v>0</v>
      </c>
      <c r="S39" t="n">
        <v>0</v>
      </c>
      <c r="T39" t="n">
        <v>0</v>
      </c>
      <c r="U39" t="n">
        <v>0</v>
      </c>
      <c r="V39" s="2" t="inlineStr"/>
    </row>
    <row r="40" ht="15" customHeight="1">
      <c r="A40" t="inlineStr">
        <is>
          <t>A 20974-2025</t>
        </is>
      </c>
      <c r="B40" t="inlineStr">
        <is>
          <t>avverkningsanmälan</t>
        </is>
      </c>
      <c r="C40" t="inlineStr">
        <is>
          <t>Föryngringsavverkning</t>
        </is>
      </c>
      <c r="D40" s="1" t="n">
        <v>45777</v>
      </c>
      <c r="E40" s="1" t="n">
        <v>46265</v>
      </c>
      <c r="F40" t="inlineStr">
        <is>
          <t>VÄSTRA GÖTALANDS LÄN</t>
        </is>
      </c>
      <c r="G40" t="inlineStr">
        <is>
          <t>STENUNGSUND</t>
        </is>
      </c>
      <c r="I40" t="n">
        <v>10.3</v>
      </c>
      <c r="J40" t="n">
        <v>0</v>
      </c>
      <c r="K40" t="n">
        <v>0</v>
      </c>
      <c r="L40" t="n">
        <v>0</v>
      </c>
      <c r="M40" t="n">
        <v>0</v>
      </c>
      <c r="N40" t="n">
        <v>0</v>
      </c>
      <c r="O40" t="n">
        <v>0</v>
      </c>
      <c r="P40" t="n">
        <v>0</v>
      </c>
      <c r="Q40" t="n">
        <v>0</v>
      </c>
      <c r="R40" t="n">
        <v>0</v>
      </c>
      <c r="S40" t="n">
        <v>0</v>
      </c>
      <c r="T40" t="n">
        <v>0</v>
      </c>
      <c r="U40" t="n">
        <v>0</v>
      </c>
      <c r="V40" s="2" t="inlineStr"/>
    </row>
    <row r="41" ht="15" customHeight="1">
      <c r="A41" t="inlineStr">
        <is>
          <t>A 38994-2025</t>
        </is>
      </c>
      <c r="B41" t="inlineStr">
        <is>
          <t>avverkningsanmälan</t>
        </is>
      </c>
      <c r="C41" t="inlineStr">
        <is>
          <t>Föryngringsavverkning</t>
        </is>
      </c>
      <c r="D41" s="1" t="n">
        <v>45888</v>
      </c>
      <c r="E41" s="1" t="n">
        <v>46265</v>
      </c>
      <c r="F41" t="inlineStr">
        <is>
          <t>VÄSTRA GÖTALANDS LÄN</t>
        </is>
      </c>
      <c r="G41" t="inlineStr">
        <is>
          <t>STENUNGSUND</t>
        </is>
      </c>
      <c r="I41" t="n">
        <v>0.4</v>
      </c>
      <c r="J41" t="n">
        <v>0</v>
      </c>
      <c r="K41" t="n">
        <v>0</v>
      </c>
      <c r="L41" t="n">
        <v>0</v>
      </c>
      <c r="M41" t="n">
        <v>0</v>
      </c>
      <c r="N41" t="n">
        <v>0</v>
      </c>
      <c r="O41" t="n">
        <v>0</v>
      </c>
      <c r="P41" t="n">
        <v>0</v>
      </c>
      <c r="Q41" t="n">
        <v>0</v>
      </c>
      <c r="R41" t="n">
        <v>0</v>
      </c>
      <c r="S41" t="n">
        <v>0</v>
      </c>
      <c r="T41" t="n">
        <v>0</v>
      </c>
      <c r="U41" t="n">
        <v>0</v>
      </c>
      <c r="V41" s="2" t="inlineStr"/>
    </row>
    <row r="42" ht="15" customHeight="1">
      <c r="A42" t="inlineStr">
        <is>
          <t>A 4734-2023</t>
        </is>
      </c>
      <c r="B42" t="inlineStr">
        <is>
          <t>avverkningsanmälan</t>
        </is>
      </c>
      <c r="C42" t="inlineStr">
        <is>
          <t>Föryngringsavverkning</t>
        </is>
      </c>
      <c r="D42" s="1" t="n">
        <v>44957</v>
      </c>
      <c r="E42" s="1" t="n">
        <v>46265</v>
      </c>
      <c r="F42" t="inlineStr">
        <is>
          <t>VÄSTRA GÖTALANDS LÄN</t>
        </is>
      </c>
      <c r="G42" t="inlineStr">
        <is>
          <t>STENUNGSUND</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42791-2025</t>
        </is>
      </c>
      <c r="B43" t="inlineStr">
        <is>
          <t>avverkningsanmälan</t>
        </is>
      </c>
      <c r="C43" t="inlineStr">
        <is>
          <t>Föryngringsavverkning</t>
        </is>
      </c>
      <c r="D43" s="1" t="n">
        <v>45908</v>
      </c>
      <c r="E43" s="1" t="n">
        <v>46265</v>
      </c>
      <c r="F43" t="inlineStr">
        <is>
          <t>VÄSTRA GÖTALANDS LÄN</t>
        </is>
      </c>
      <c r="G43" t="inlineStr">
        <is>
          <t>STENUNGSUND</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24211-2025</t>
        </is>
      </c>
      <c r="B44" t="inlineStr">
        <is>
          <t>avverkningsanmälan</t>
        </is>
      </c>
      <c r="C44" t="inlineStr">
        <is>
          <t>Föryngringsavverkning</t>
        </is>
      </c>
      <c r="D44" s="1" t="n">
        <v>45797</v>
      </c>
      <c r="E44" s="1" t="n">
        <v>46265</v>
      </c>
      <c r="F44" t="inlineStr">
        <is>
          <t>VÄSTRA GÖTALANDS LÄN</t>
        </is>
      </c>
      <c r="G44" t="inlineStr">
        <is>
          <t>STENUNGSUND</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36018-2025</t>
        </is>
      </c>
      <c r="B45" t="inlineStr">
        <is>
          <t>avverkningsanmälan</t>
        </is>
      </c>
      <c r="C45" t="inlineStr">
        <is>
          <t>Föryngringsavverkning</t>
        </is>
      </c>
      <c r="D45" s="1" t="n">
        <v>45863</v>
      </c>
      <c r="E45" s="1" t="n">
        <v>46265</v>
      </c>
      <c r="F45" t="inlineStr">
        <is>
          <t>VÄSTRA GÖTALANDS LÄN</t>
        </is>
      </c>
      <c r="G45" t="inlineStr">
        <is>
          <t>STENUNGSUND</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60832-2024</t>
        </is>
      </c>
      <c r="B46" t="inlineStr">
        <is>
          <t>avverkningsanmälan</t>
        </is>
      </c>
      <c r="C46" t="inlineStr">
        <is>
          <t>Föryngringsavverkning</t>
        </is>
      </c>
      <c r="D46" s="1" t="n">
        <v>45644</v>
      </c>
      <c r="E46" s="1" t="n">
        <v>46265</v>
      </c>
      <c r="F46" t="inlineStr">
        <is>
          <t>VÄSTRA GÖTALANDS LÄN</t>
        </is>
      </c>
      <c r="G46" t="inlineStr">
        <is>
          <t>STENUNGSUND</t>
        </is>
      </c>
      <c r="I46" t="n">
        <v>2.8</v>
      </c>
      <c r="J46" t="n">
        <v>0</v>
      </c>
      <c r="K46" t="n">
        <v>0</v>
      </c>
      <c r="L46" t="n">
        <v>0</v>
      </c>
      <c r="M46" t="n">
        <v>0</v>
      </c>
      <c r="N46" t="n">
        <v>0</v>
      </c>
      <c r="O46" t="n">
        <v>0</v>
      </c>
      <c r="P46" t="n">
        <v>0</v>
      </c>
      <c r="Q46" t="n">
        <v>0</v>
      </c>
      <c r="R46" t="n">
        <v>0</v>
      </c>
      <c r="S46" t="n">
        <v>0</v>
      </c>
      <c r="T46" t="n">
        <v>0</v>
      </c>
      <c r="U46" t="n">
        <v>0</v>
      </c>
      <c r="V46" s="2" t="inlineStr"/>
    </row>
    <row r="47" ht="15" customHeight="1">
      <c r="A47" t="inlineStr">
        <is>
          <t>A 8948-2022</t>
        </is>
      </c>
      <c r="B47" t="inlineStr">
        <is>
          <t>avverkningsanmälan</t>
        </is>
      </c>
      <c r="C47" t="inlineStr">
        <is>
          <t>Avverkning för annat ändamål</t>
        </is>
      </c>
      <c r="D47" s="1" t="n">
        <v>44614</v>
      </c>
      <c r="E47" s="1" t="n">
        <v>46265</v>
      </c>
      <c r="F47" t="inlineStr">
        <is>
          <t>VÄSTRA GÖTALANDS LÄN</t>
        </is>
      </c>
      <c r="G47" t="inlineStr">
        <is>
          <t>STENUNGSUND</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22728-2025</t>
        </is>
      </c>
      <c r="B48" t="inlineStr">
        <is>
          <t>avverkningsanmälan</t>
        </is>
      </c>
      <c r="C48" t="inlineStr">
        <is>
          <t>Föryngringsavverkning</t>
        </is>
      </c>
      <c r="D48" s="1" t="n">
        <v>45789</v>
      </c>
      <c r="E48" s="1" t="n">
        <v>46265</v>
      </c>
      <c r="F48" t="inlineStr">
        <is>
          <t>VÄSTRA GÖTALANDS LÄN</t>
        </is>
      </c>
      <c r="G48" t="inlineStr">
        <is>
          <t>STENUNGSUND</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57766-2024</t>
        </is>
      </c>
      <c r="B49" t="inlineStr">
        <is>
          <t>avverkningsanmälan</t>
        </is>
      </c>
      <c r="C49" t="inlineStr">
        <is>
          <t>Föryngringsavverkning</t>
        </is>
      </c>
      <c r="D49" s="1" t="n">
        <v>45630</v>
      </c>
      <c r="E49" s="1" t="n">
        <v>46265</v>
      </c>
      <c r="F49" t="inlineStr">
        <is>
          <t>VÄSTRA GÖTALANDS LÄN</t>
        </is>
      </c>
      <c r="G49" t="inlineStr">
        <is>
          <t>STENUNGSUND</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57767-2024</t>
        </is>
      </c>
      <c r="B50" t="inlineStr">
        <is>
          <t>avverkningsanmälan</t>
        </is>
      </c>
      <c r="C50" t="inlineStr">
        <is>
          <t>Föryngringsavverkning</t>
        </is>
      </c>
      <c r="D50" s="1" t="n">
        <v>45630</v>
      </c>
      <c r="E50" s="1" t="n">
        <v>46265</v>
      </c>
      <c r="F50" t="inlineStr">
        <is>
          <t>VÄSTRA GÖTALANDS LÄN</t>
        </is>
      </c>
      <c r="G50" t="inlineStr">
        <is>
          <t>STENUNGSUND</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57769-2024</t>
        </is>
      </c>
      <c r="B51" t="inlineStr">
        <is>
          <t>avverkningsanmälan</t>
        </is>
      </c>
      <c r="C51" t="inlineStr">
        <is>
          <t>Föryngringsavverkning</t>
        </is>
      </c>
      <c r="D51" s="1" t="n">
        <v>45630</v>
      </c>
      <c r="E51" s="1" t="n">
        <v>46265</v>
      </c>
      <c r="F51" t="inlineStr">
        <is>
          <t>VÄSTRA GÖTALANDS LÄN</t>
        </is>
      </c>
      <c r="G51" t="inlineStr">
        <is>
          <t>STENUNGSUND</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57768-2024</t>
        </is>
      </c>
      <c r="B52" t="inlineStr">
        <is>
          <t>avverkningsanmälan</t>
        </is>
      </c>
      <c r="C52" t="inlineStr">
        <is>
          <t>Föryngringsavverkning</t>
        </is>
      </c>
      <c r="D52" s="1" t="n">
        <v>45630</v>
      </c>
      <c r="E52" s="1" t="n">
        <v>46265</v>
      </c>
      <c r="F52" t="inlineStr">
        <is>
          <t>VÄSTRA GÖTALANDS LÄN</t>
        </is>
      </c>
      <c r="G52" t="inlineStr">
        <is>
          <t>STENUNGSUND</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48365-2024</t>
        </is>
      </c>
      <c r="B53" t="inlineStr">
        <is>
          <t>avverkningsanmälan</t>
        </is>
      </c>
      <c r="C53" t="inlineStr">
        <is>
          <t>Föryngringsavverkning</t>
        </is>
      </c>
      <c r="D53" s="1" t="n">
        <v>45590</v>
      </c>
      <c r="E53" s="1" t="n">
        <v>46265</v>
      </c>
      <c r="F53" t="inlineStr">
        <is>
          <t>VÄSTRA GÖTALANDS LÄN</t>
        </is>
      </c>
      <c r="G53" t="inlineStr">
        <is>
          <t>STENUNGSUND</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60550-2023</t>
        </is>
      </c>
      <c r="B54" t="inlineStr">
        <is>
          <t>avverkningsanmälan</t>
        </is>
      </c>
      <c r="C54" t="inlineStr">
        <is>
          <t>Föryngringsavverkning</t>
        </is>
      </c>
      <c r="D54" s="1" t="n">
        <v>45259</v>
      </c>
      <c r="E54" s="1" t="n">
        <v>46265</v>
      </c>
      <c r="F54" t="inlineStr">
        <is>
          <t>VÄSTRA GÖTALANDS LÄN</t>
        </is>
      </c>
      <c r="G54" t="inlineStr">
        <is>
          <t>STENUNGSUND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9893-2025</t>
        </is>
      </c>
      <c r="B55" t="inlineStr">
        <is>
          <t>avverkningsanmälan</t>
        </is>
      </c>
      <c r="C55" t="inlineStr">
        <is>
          <t>Föryngringsavverkning</t>
        </is>
      </c>
      <c r="D55" s="1" t="n">
        <v>45716</v>
      </c>
      <c r="E55" s="1" t="n">
        <v>46265</v>
      </c>
      <c r="F55" t="inlineStr">
        <is>
          <t>VÄSTRA GÖTALANDS LÄN</t>
        </is>
      </c>
      <c r="G55" t="inlineStr">
        <is>
          <t>STENUNGSUND</t>
        </is>
      </c>
      <c r="I55" t="n">
        <v>3.2</v>
      </c>
      <c r="J55" t="n">
        <v>0</v>
      </c>
      <c r="K55" t="n">
        <v>0</v>
      </c>
      <c r="L55" t="n">
        <v>0</v>
      </c>
      <c r="M55" t="n">
        <v>0</v>
      </c>
      <c r="N55" t="n">
        <v>0</v>
      </c>
      <c r="O55" t="n">
        <v>0</v>
      </c>
      <c r="P55" t="n">
        <v>0</v>
      </c>
      <c r="Q55" t="n">
        <v>0</v>
      </c>
      <c r="R55" t="n">
        <v>0</v>
      </c>
      <c r="S55" t="n">
        <v>0</v>
      </c>
      <c r="T55" t="n">
        <v>0</v>
      </c>
      <c r="U55" t="n">
        <v>0</v>
      </c>
      <c r="V55" s="2" t="inlineStr"/>
    </row>
    <row r="56" ht="15" customHeight="1">
      <c r="A56" t="inlineStr">
        <is>
          <t>A 2412-2024</t>
        </is>
      </c>
      <c r="B56" t="inlineStr">
        <is>
          <t>avverkningsanmälan</t>
        </is>
      </c>
      <c r="C56" t="inlineStr">
        <is>
          <t>Föryngringsavverkning</t>
        </is>
      </c>
      <c r="D56" s="1" t="n">
        <v>45310</v>
      </c>
      <c r="E56" s="1" t="n">
        <v>46265</v>
      </c>
      <c r="F56" t="inlineStr">
        <is>
          <t>VÄSTRA GÖTALANDS LÄN</t>
        </is>
      </c>
      <c r="G56" t="inlineStr">
        <is>
          <t>STENUNGSUND</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50205-2025</t>
        </is>
      </c>
      <c r="B57" t="inlineStr">
        <is>
          <t>avverkningsanmälan</t>
        </is>
      </c>
      <c r="C57" t="inlineStr">
        <is>
          <t>Föryngringsavverkning</t>
        </is>
      </c>
      <c r="D57" s="1" t="n">
        <v>45943</v>
      </c>
      <c r="E57" s="1" t="n">
        <v>46265</v>
      </c>
      <c r="F57" t="inlineStr">
        <is>
          <t>VÄSTRA GÖTALANDS LÄN</t>
        </is>
      </c>
      <c r="G57" t="inlineStr">
        <is>
          <t>STENUNGSUND</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60687-2025</t>
        </is>
      </c>
      <c r="B58" t="inlineStr">
        <is>
          <t>avverkningsanmälan</t>
        </is>
      </c>
      <c r="C58" t="inlineStr">
        <is>
          <t>Föryngringsavverkning</t>
        </is>
      </c>
      <c r="D58" s="1" t="n">
        <v>45996</v>
      </c>
      <c r="E58" s="1" t="n">
        <v>46265</v>
      </c>
      <c r="F58" t="inlineStr">
        <is>
          <t>VÄSTRA GÖTALANDS LÄN</t>
        </is>
      </c>
      <c r="G58" t="inlineStr">
        <is>
          <t>STENUNGSUND</t>
        </is>
      </c>
      <c r="I58" t="n">
        <v>3.9</v>
      </c>
      <c r="J58" t="n">
        <v>0</v>
      </c>
      <c r="K58" t="n">
        <v>0</v>
      </c>
      <c r="L58" t="n">
        <v>0</v>
      </c>
      <c r="M58" t="n">
        <v>0</v>
      </c>
      <c r="N58" t="n">
        <v>0</v>
      </c>
      <c r="O58" t="n">
        <v>0</v>
      </c>
      <c r="P58" t="n">
        <v>0</v>
      </c>
      <c r="Q58" t="n">
        <v>0</v>
      </c>
      <c r="R58" t="n">
        <v>0</v>
      </c>
      <c r="S58" t="n">
        <v>0</v>
      </c>
      <c r="T58" t="n">
        <v>0</v>
      </c>
      <c r="U58" t="n">
        <v>0</v>
      </c>
      <c r="V58" s="2" t="inlineStr"/>
    </row>
    <row r="59" ht="15" customHeight="1">
      <c r="A59" t="inlineStr">
        <is>
          <t>A 3570-2023</t>
        </is>
      </c>
      <c r="B59" t="inlineStr">
        <is>
          <t>avverkningsanmälan</t>
        </is>
      </c>
      <c r="C59" t="inlineStr">
        <is>
          <t>Föryngringsavverkning</t>
        </is>
      </c>
      <c r="D59" s="1" t="n">
        <v>44950</v>
      </c>
      <c r="E59" s="1" t="n">
        <v>46265</v>
      </c>
      <c r="F59" t="inlineStr">
        <is>
          <t>VÄSTRA GÖTALANDS LÄN</t>
        </is>
      </c>
      <c r="G59" t="inlineStr">
        <is>
          <t>STENUNGSUND</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50543-2025</t>
        </is>
      </c>
      <c r="B60" t="inlineStr">
        <is>
          <t>avverkningsanmälan</t>
        </is>
      </c>
      <c r="C60" t="inlineStr">
        <is>
          <t>Föryngringsavverkning</t>
        </is>
      </c>
      <c r="D60" s="1" t="n">
        <v>45945</v>
      </c>
      <c r="E60" s="1" t="n">
        <v>46265</v>
      </c>
      <c r="F60" t="inlineStr">
        <is>
          <t>VÄSTRA GÖTALANDS LÄN</t>
        </is>
      </c>
      <c r="G60" t="inlineStr">
        <is>
          <t>STENUNGSUND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50538-2025</t>
        </is>
      </c>
      <c r="B61" t="inlineStr">
        <is>
          <t>avverkningsanmälan</t>
        </is>
      </c>
      <c r="C61" t="inlineStr">
        <is>
          <t>Föryngringsavverkning</t>
        </is>
      </c>
      <c r="D61" s="1" t="n">
        <v>45945</v>
      </c>
      <c r="E61" s="1" t="n">
        <v>46265</v>
      </c>
      <c r="F61" t="inlineStr">
        <is>
          <t>VÄSTRA GÖTALANDS LÄN</t>
        </is>
      </c>
      <c r="G61" t="inlineStr">
        <is>
          <t>STENUNGSUND</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51450-2025</t>
        </is>
      </c>
      <c r="B62" t="inlineStr">
        <is>
          <t>avverkningsanmälan</t>
        </is>
      </c>
      <c r="C62" t="inlineStr">
        <is>
          <t>Föryngringsavverkning</t>
        </is>
      </c>
      <c r="D62" s="1" t="n">
        <v>45950</v>
      </c>
      <c r="E62" s="1" t="n">
        <v>46265</v>
      </c>
      <c r="F62" t="inlineStr">
        <is>
          <t>VÄSTRA GÖTALANDS LÄN</t>
        </is>
      </c>
      <c r="G62" t="inlineStr">
        <is>
          <t>STENUNGSUND</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52012-2025</t>
        </is>
      </c>
      <c r="B63" t="inlineStr">
        <is>
          <t>avverkningsanmälan</t>
        </is>
      </c>
      <c r="C63" t="inlineStr">
        <is>
          <t>Föryngringsavverkning</t>
        </is>
      </c>
      <c r="D63" s="1" t="n">
        <v>45952</v>
      </c>
      <c r="E63" s="1" t="n">
        <v>46265</v>
      </c>
      <c r="F63" t="inlineStr">
        <is>
          <t>VÄSTRA GÖTALANDS LÄN</t>
        </is>
      </c>
      <c r="G63" t="inlineStr">
        <is>
          <t>STENUNGSUND</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35172-2025</t>
        </is>
      </c>
      <c r="B64" t="inlineStr">
        <is>
          <t>avverkningsanmälan</t>
        </is>
      </c>
      <c r="C64" t="inlineStr">
        <is>
          <t>Föryngringsavverkning</t>
        </is>
      </c>
      <c r="D64" s="1" t="n">
        <v>45852</v>
      </c>
      <c r="E64" s="1" t="n">
        <v>46265</v>
      </c>
      <c r="F64" t="inlineStr">
        <is>
          <t>VÄSTRA GÖTALANDS LÄN</t>
        </is>
      </c>
      <c r="G64" t="inlineStr">
        <is>
          <t>STENUNGSUND</t>
        </is>
      </c>
      <c r="I64" t="n">
        <v>4.5</v>
      </c>
      <c r="J64" t="n">
        <v>0</v>
      </c>
      <c r="K64" t="n">
        <v>0</v>
      </c>
      <c r="L64" t="n">
        <v>0</v>
      </c>
      <c r="M64" t="n">
        <v>0</v>
      </c>
      <c r="N64" t="n">
        <v>0</v>
      </c>
      <c r="O64" t="n">
        <v>0</v>
      </c>
      <c r="P64" t="n">
        <v>0</v>
      </c>
      <c r="Q64" t="n">
        <v>0</v>
      </c>
      <c r="R64" t="n">
        <v>0</v>
      </c>
      <c r="S64" t="n">
        <v>0</v>
      </c>
      <c r="T64" t="n">
        <v>0</v>
      </c>
      <c r="U64" t="n">
        <v>0</v>
      </c>
      <c r="V64" s="2" t="inlineStr"/>
    </row>
    <row r="65" ht="15" customHeight="1">
      <c r="A65" t="inlineStr">
        <is>
          <t>A 6913-2024</t>
        </is>
      </c>
      <c r="B65" t="inlineStr">
        <is>
          <t>avverkningsanmälan</t>
        </is>
      </c>
      <c r="C65" t="inlineStr">
        <is>
          <t>Föryngringsavverkning</t>
        </is>
      </c>
      <c r="D65" s="1" t="n">
        <v>45343</v>
      </c>
      <c r="E65" s="1" t="n">
        <v>46265</v>
      </c>
      <c r="F65" t="inlineStr">
        <is>
          <t>VÄSTRA GÖTALANDS LÄN</t>
        </is>
      </c>
      <c r="G65" t="inlineStr">
        <is>
          <t>STENUNGSUND</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9282-2025</t>
        </is>
      </c>
      <c r="B66" t="inlineStr">
        <is>
          <t>avverkningsanmälan</t>
        </is>
      </c>
      <c r="C66" t="inlineStr">
        <is>
          <t>Föryngringsavverkning</t>
        </is>
      </c>
      <c r="D66" s="1" t="n">
        <v>45714</v>
      </c>
      <c r="E66" s="1" t="n">
        <v>46265</v>
      </c>
      <c r="F66" t="inlineStr">
        <is>
          <t>VÄSTRA GÖTALANDS LÄN</t>
        </is>
      </c>
      <c r="G66" t="inlineStr">
        <is>
          <t>STENUNGSUND</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60158-2024</t>
        </is>
      </c>
      <c r="B67" t="inlineStr">
        <is>
          <t>avverkningsanmälan</t>
        </is>
      </c>
      <c r="C67" t="inlineStr">
        <is>
          <t>Föryngringsavverkning</t>
        </is>
      </c>
      <c r="D67" s="1" t="n">
        <v>45642</v>
      </c>
      <c r="E67" s="1" t="n">
        <v>46265</v>
      </c>
      <c r="F67" t="inlineStr">
        <is>
          <t>VÄSTRA GÖTALANDS LÄN</t>
        </is>
      </c>
      <c r="G67" t="inlineStr">
        <is>
          <t>STENUNGSUND</t>
        </is>
      </c>
      <c r="I67" t="n">
        <v>4.4</v>
      </c>
      <c r="J67" t="n">
        <v>0</v>
      </c>
      <c r="K67" t="n">
        <v>0</v>
      </c>
      <c r="L67" t="n">
        <v>0</v>
      </c>
      <c r="M67" t="n">
        <v>0</v>
      </c>
      <c r="N67" t="n">
        <v>0</v>
      </c>
      <c r="O67" t="n">
        <v>0</v>
      </c>
      <c r="P67" t="n">
        <v>0</v>
      </c>
      <c r="Q67" t="n">
        <v>0</v>
      </c>
      <c r="R67" t="n">
        <v>0</v>
      </c>
      <c r="S67" t="n">
        <v>0</v>
      </c>
      <c r="T67" t="n">
        <v>0</v>
      </c>
      <c r="U67" t="n">
        <v>0</v>
      </c>
      <c r="V67" s="2" t="inlineStr"/>
    </row>
    <row r="68" ht="15" customHeight="1">
      <c r="A68" t="inlineStr">
        <is>
          <t>A 14981-2025</t>
        </is>
      </c>
      <c r="B68" t="inlineStr">
        <is>
          <t>avverkningsanmälan</t>
        </is>
      </c>
      <c r="C68" t="inlineStr">
        <is>
          <t>Föryngringsavverkning</t>
        </is>
      </c>
      <c r="D68" s="1" t="n">
        <v>45743</v>
      </c>
      <c r="E68" s="1" t="n">
        <v>46265</v>
      </c>
      <c r="F68" t="inlineStr">
        <is>
          <t>VÄSTRA GÖTALANDS LÄN</t>
        </is>
      </c>
      <c r="G68" t="inlineStr">
        <is>
          <t>STENUNGSUND</t>
        </is>
      </c>
      <c r="I68" t="n">
        <v>4.8</v>
      </c>
      <c r="J68" t="n">
        <v>0</v>
      </c>
      <c r="K68" t="n">
        <v>0</v>
      </c>
      <c r="L68" t="n">
        <v>0</v>
      </c>
      <c r="M68" t="n">
        <v>0</v>
      </c>
      <c r="N68" t="n">
        <v>0</v>
      </c>
      <c r="O68" t="n">
        <v>0</v>
      </c>
      <c r="P68" t="n">
        <v>0</v>
      </c>
      <c r="Q68" t="n">
        <v>0</v>
      </c>
      <c r="R68" t="n">
        <v>0</v>
      </c>
      <c r="S68" t="n">
        <v>0</v>
      </c>
      <c r="T68" t="n">
        <v>0</v>
      </c>
      <c r="U68" t="n">
        <v>0</v>
      </c>
      <c r="V68" s="2" t="inlineStr"/>
    </row>
    <row r="69" ht="15" customHeight="1">
      <c r="A69" t="inlineStr">
        <is>
          <t>A 19059-2023</t>
        </is>
      </c>
      <c r="B69" t="inlineStr">
        <is>
          <t>avverkningsanmälan</t>
        </is>
      </c>
      <c r="C69" t="inlineStr">
        <is>
          <t>Föryngringsavverkning</t>
        </is>
      </c>
      <c r="D69" s="1" t="n">
        <v>45048</v>
      </c>
      <c r="E69" s="1" t="n">
        <v>46265</v>
      </c>
      <c r="F69" t="inlineStr">
        <is>
          <t>VÄSTRA GÖTALANDS LÄN</t>
        </is>
      </c>
      <c r="G69" t="inlineStr">
        <is>
          <t>STENUNGSUND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23762-2024</t>
        </is>
      </c>
      <c r="B70" t="inlineStr">
        <is>
          <t>avverkningsanmälan</t>
        </is>
      </c>
      <c r="C70" t="inlineStr">
        <is>
          <t>Föryngringsavverkning</t>
        </is>
      </c>
      <c r="D70" s="1" t="n">
        <v>45455</v>
      </c>
      <c r="E70" s="1" t="n">
        <v>46265</v>
      </c>
      <c r="F70" t="inlineStr">
        <is>
          <t>VÄSTRA GÖTALANDS LÄN</t>
        </is>
      </c>
      <c r="G70" t="inlineStr">
        <is>
          <t>STENUNGSUND</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33010-2022</t>
        </is>
      </c>
      <c r="B71" t="inlineStr">
        <is>
          <t>avverkningsanmälan</t>
        </is>
      </c>
      <c r="C71" t="inlineStr">
        <is>
          <t>Föryngringsavverkning</t>
        </is>
      </c>
      <c r="D71" s="1" t="n">
        <v>44785</v>
      </c>
      <c r="E71" s="1" t="n">
        <v>46265</v>
      </c>
      <c r="F71" t="inlineStr">
        <is>
          <t>VÄSTRA GÖTALANDS LÄN</t>
        </is>
      </c>
      <c r="G71" t="inlineStr">
        <is>
          <t>STENUNGSUND</t>
        </is>
      </c>
      <c r="I71" t="n">
        <v>3.4</v>
      </c>
      <c r="J71" t="n">
        <v>0</v>
      </c>
      <c r="K71" t="n">
        <v>0</v>
      </c>
      <c r="L71" t="n">
        <v>0</v>
      </c>
      <c r="M71" t="n">
        <v>0</v>
      </c>
      <c r="N71" t="n">
        <v>0</v>
      </c>
      <c r="O71" t="n">
        <v>0</v>
      </c>
      <c r="P71" t="n">
        <v>0</v>
      </c>
      <c r="Q71" t="n">
        <v>0</v>
      </c>
      <c r="R71" t="n">
        <v>0</v>
      </c>
      <c r="S71" t="n">
        <v>0</v>
      </c>
      <c r="T71" t="n">
        <v>0</v>
      </c>
      <c r="U71" t="n">
        <v>0</v>
      </c>
      <c r="V71" s="2" t="inlineStr"/>
    </row>
    <row r="72" ht="15" customHeight="1">
      <c r="A72" t="inlineStr">
        <is>
          <t>A 52952-2021</t>
        </is>
      </c>
      <c r="B72" t="inlineStr">
        <is>
          <t>avverkningsanmälan</t>
        </is>
      </c>
      <c r="C72" t="inlineStr">
        <is>
          <t>Föryngringsavverkning</t>
        </is>
      </c>
      <c r="D72" s="1" t="n">
        <v>44467</v>
      </c>
      <c r="E72" s="1" t="n">
        <v>46265</v>
      </c>
      <c r="F72" t="inlineStr">
        <is>
          <t>VÄSTRA GÖTALANDS LÄN</t>
        </is>
      </c>
      <c r="G72" t="inlineStr">
        <is>
          <t>STENUNGSUND</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19302-2025</t>
        </is>
      </c>
      <c r="B73" t="inlineStr">
        <is>
          <t>avverkningsanmälan</t>
        </is>
      </c>
      <c r="C73" t="inlineStr">
        <is>
          <t>Föryngringsavverkning</t>
        </is>
      </c>
      <c r="D73" s="1" t="n">
        <v>45769</v>
      </c>
      <c r="E73" s="1" t="n">
        <v>46265</v>
      </c>
      <c r="F73" t="inlineStr">
        <is>
          <t>VÄSTRA GÖTALANDS LÄN</t>
        </is>
      </c>
      <c r="G73" t="inlineStr">
        <is>
          <t>STENUNGSUND</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2472-2026</t>
        </is>
      </c>
      <c r="B74" t="inlineStr">
        <is>
          <t>avverkningsanmälan</t>
        </is>
      </c>
      <c r="C74" t="inlineStr">
        <is>
          <t>Föryngringsavverkning</t>
        </is>
      </c>
      <c r="D74" s="1" t="n">
        <v>46037</v>
      </c>
      <c r="E74" s="1" t="n">
        <v>46265</v>
      </c>
      <c r="F74" t="inlineStr">
        <is>
          <t>VÄSTRA GÖTALANDS LÄN</t>
        </is>
      </c>
      <c r="G74" t="inlineStr">
        <is>
          <t>STENUNGSUND</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2481-2026</t>
        </is>
      </c>
      <c r="B75" t="inlineStr">
        <is>
          <t>avverkningsanmälan</t>
        </is>
      </c>
      <c r="C75" t="inlineStr">
        <is>
          <t>Föryngringsavverkning</t>
        </is>
      </c>
      <c r="D75" s="1" t="n">
        <v>46037</v>
      </c>
      <c r="E75" s="1" t="n">
        <v>46265</v>
      </c>
      <c r="F75" t="inlineStr">
        <is>
          <t>VÄSTRA GÖTALANDS LÄN</t>
        </is>
      </c>
      <c r="G75" t="inlineStr">
        <is>
          <t>STENUNGSUND</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64992-2023</t>
        </is>
      </c>
      <c r="B76" t="inlineStr">
        <is>
          <t>avverkningsanmälan</t>
        </is>
      </c>
      <c r="C76" t="inlineStr">
        <is>
          <t>Föryngringsavverkning</t>
        </is>
      </c>
      <c r="D76" s="1" t="n">
        <v>45286</v>
      </c>
      <c r="E76" s="1" t="n">
        <v>46265</v>
      </c>
      <c r="F76" t="inlineStr">
        <is>
          <t>VÄSTRA GÖTALANDS LÄN</t>
        </is>
      </c>
      <c r="G76" t="inlineStr">
        <is>
          <t>STENUNGSUND</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11362-2025</t>
        </is>
      </c>
      <c r="B77" t="inlineStr">
        <is>
          <t>avverkningsanmälan</t>
        </is>
      </c>
      <c r="C77" t="inlineStr">
        <is>
          <t>Föryngringsavverkning</t>
        </is>
      </c>
      <c r="D77" s="1" t="n">
        <v>45726</v>
      </c>
      <c r="E77" s="1" t="n">
        <v>46265</v>
      </c>
      <c r="F77" t="inlineStr">
        <is>
          <t>VÄSTRA GÖTALANDS LÄN</t>
        </is>
      </c>
      <c r="G77" t="inlineStr">
        <is>
          <t>STENUNGSUND</t>
        </is>
      </c>
      <c r="I77" t="n">
        <v>6.4</v>
      </c>
      <c r="J77" t="n">
        <v>0</v>
      </c>
      <c r="K77" t="n">
        <v>0</v>
      </c>
      <c r="L77" t="n">
        <v>0</v>
      </c>
      <c r="M77" t="n">
        <v>0</v>
      </c>
      <c r="N77" t="n">
        <v>0</v>
      </c>
      <c r="O77" t="n">
        <v>0</v>
      </c>
      <c r="P77" t="n">
        <v>0</v>
      </c>
      <c r="Q77" t="n">
        <v>0</v>
      </c>
      <c r="R77" t="n">
        <v>0</v>
      </c>
      <c r="S77" t="n">
        <v>0</v>
      </c>
      <c r="T77" t="n">
        <v>0</v>
      </c>
      <c r="U77" t="n">
        <v>0</v>
      </c>
      <c r="V77" s="2" t="inlineStr"/>
    </row>
    <row r="78" ht="15" customHeight="1">
      <c r="A78" t="inlineStr">
        <is>
          <t>A 34555-2024</t>
        </is>
      </c>
      <c r="B78" t="inlineStr">
        <is>
          <t>avverkningsanmälan</t>
        </is>
      </c>
      <c r="C78" t="inlineStr">
        <is>
          <t>Föryngringsavverkning</t>
        </is>
      </c>
      <c r="D78" s="1" t="n">
        <v>45525</v>
      </c>
      <c r="E78" s="1" t="n">
        <v>46265</v>
      </c>
      <c r="F78" t="inlineStr">
        <is>
          <t>VÄSTRA GÖTALANDS LÄN</t>
        </is>
      </c>
      <c r="G78" t="inlineStr">
        <is>
          <t>STENUNGSUND</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6699-2022</t>
        </is>
      </c>
      <c r="B79" t="inlineStr">
        <is>
          <t>avverkningsanmälan</t>
        </is>
      </c>
      <c r="C79" t="inlineStr">
        <is>
          <t>Avverkning för annat ändamål</t>
        </is>
      </c>
      <c r="D79" s="1" t="n">
        <v>44602</v>
      </c>
      <c r="E79" s="1" t="n">
        <v>46265</v>
      </c>
      <c r="F79" t="inlineStr">
        <is>
          <t>VÄSTRA GÖTALANDS LÄN</t>
        </is>
      </c>
      <c r="G79" t="inlineStr">
        <is>
          <t>STENUNGSUND</t>
        </is>
      </c>
      <c r="I79" t="n">
        <v>10</v>
      </c>
      <c r="J79" t="n">
        <v>0</v>
      </c>
      <c r="K79" t="n">
        <v>0</v>
      </c>
      <c r="L79" t="n">
        <v>0</v>
      </c>
      <c r="M79" t="n">
        <v>0</v>
      </c>
      <c r="N79" t="n">
        <v>0</v>
      </c>
      <c r="O79" t="n">
        <v>0</v>
      </c>
      <c r="P79" t="n">
        <v>0</v>
      </c>
      <c r="Q79" t="n">
        <v>0</v>
      </c>
      <c r="R79" t="n">
        <v>0</v>
      </c>
      <c r="S79" t="n">
        <v>0</v>
      </c>
      <c r="T79" t="n">
        <v>0</v>
      </c>
      <c r="U79" t="n">
        <v>0</v>
      </c>
      <c r="V79" s="2" t="inlineStr"/>
    </row>
    <row r="80" ht="15" customHeight="1">
      <c r="A80" t="inlineStr">
        <is>
          <t>A 72944-2021</t>
        </is>
      </c>
      <c r="B80" t="inlineStr">
        <is>
          <t>avverkningsanmälan</t>
        </is>
      </c>
      <c r="C80" t="inlineStr">
        <is>
          <t>Föryngringsavverkning</t>
        </is>
      </c>
      <c r="D80" s="1" t="n">
        <v>44547</v>
      </c>
      <c r="E80" s="1" t="n">
        <v>46265</v>
      </c>
      <c r="F80" t="inlineStr">
        <is>
          <t>VÄSTRA GÖTALANDS LÄN</t>
        </is>
      </c>
      <c r="G80" t="inlineStr">
        <is>
          <t>STENUNGSUND</t>
        </is>
      </c>
      <c r="I80" t="n">
        <v>4.2</v>
      </c>
      <c r="J80" t="n">
        <v>0</v>
      </c>
      <c r="K80" t="n">
        <v>0</v>
      </c>
      <c r="L80" t="n">
        <v>0</v>
      </c>
      <c r="M80" t="n">
        <v>0</v>
      </c>
      <c r="N80" t="n">
        <v>0</v>
      </c>
      <c r="O80" t="n">
        <v>0</v>
      </c>
      <c r="P80" t="n">
        <v>0</v>
      </c>
      <c r="Q80" t="n">
        <v>0</v>
      </c>
      <c r="R80" t="n">
        <v>0</v>
      </c>
      <c r="S80" t="n">
        <v>0</v>
      </c>
      <c r="T80" t="n">
        <v>0</v>
      </c>
      <c r="U80" t="n">
        <v>0</v>
      </c>
      <c r="V80" s="2" t="inlineStr"/>
    </row>
    <row r="81" ht="15" customHeight="1">
      <c r="A81" t="inlineStr">
        <is>
          <t>A 32960-2023</t>
        </is>
      </c>
      <c r="B81" t="inlineStr">
        <is>
          <t>avverkningsanmälan</t>
        </is>
      </c>
      <c r="C81" t="inlineStr">
        <is>
          <t>Avverkning för annat ändamål</t>
        </is>
      </c>
      <c r="D81" s="1" t="n">
        <v>45125</v>
      </c>
      <c r="E81" s="1" t="n">
        <v>46265</v>
      </c>
      <c r="F81" t="inlineStr">
        <is>
          <t>VÄSTRA GÖTALANDS LÄN</t>
        </is>
      </c>
      <c r="G81" t="inlineStr">
        <is>
          <t>STENUNGSUND</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15535-2024</t>
        </is>
      </c>
      <c r="B82" t="inlineStr">
        <is>
          <t>avverkningsanmälan</t>
        </is>
      </c>
      <c r="C82" t="inlineStr">
        <is>
          <t>Föryngringsavverkning</t>
        </is>
      </c>
      <c r="D82" s="1" t="n">
        <v>45401</v>
      </c>
      <c r="E82" s="1" t="n">
        <v>46265</v>
      </c>
      <c r="F82" t="inlineStr">
        <is>
          <t>VÄSTRA GÖTALANDS LÄN</t>
        </is>
      </c>
      <c r="G82" t="inlineStr">
        <is>
          <t>STENUNGSUND</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3243-2022</t>
        </is>
      </c>
      <c r="B83" t="inlineStr">
        <is>
          <t>avverkningsanmälan</t>
        </is>
      </c>
      <c r="C83" t="inlineStr">
        <is>
          <t>Föryngringsavverkning</t>
        </is>
      </c>
      <c r="D83" s="1" t="n">
        <v>44582</v>
      </c>
      <c r="E83" s="1" t="n">
        <v>46265</v>
      </c>
      <c r="F83" t="inlineStr">
        <is>
          <t>VÄSTRA GÖTALANDS LÄN</t>
        </is>
      </c>
      <c r="G83" t="inlineStr">
        <is>
          <t>STENUNGSUND</t>
        </is>
      </c>
      <c r="I83" t="n">
        <v>7.6</v>
      </c>
      <c r="J83" t="n">
        <v>0</v>
      </c>
      <c r="K83" t="n">
        <v>0</v>
      </c>
      <c r="L83" t="n">
        <v>0</v>
      </c>
      <c r="M83" t="n">
        <v>0</v>
      </c>
      <c r="N83" t="n">
        <v>0</v>
      </c>
      <c r="O83" t="n">
        <v>0</v>
      </c>
      <c r="P83" t="n">
        <v>0</v>
      </c>
      <c r="Q83" t="n">
        <v>0</v>
      </c>
      <c r="R83" t="n">
        <v>0</v>
      </c>
      <c r="S83" t="n">
        <v>0</v>
      </c>
      <c r="T83" t="n">
        <v>0</v>
      </c>
      <c r="U83" t="n">
        <v>0</v>
      </c>
      <c r="V83" s="2" t="inlineStr"/>
    </row>
    <row r="84" ht="15" customHeight="1">
      <c r="A84" t="inlineStr">
        <is>
          <t>A 17362-2026</t>
        </is>
      </c>
      <c r="B84" t="inlineStr">
        <is>
          <t>avverkningsanmälan</t>
        </is>
      </c>
      <c r="C84" t="inlineStr">
        <is>
          <t>Föryngringsavverkning</t>
        </is>
      </c>
      <c r="D84" s="1" t="n">
        <v>46119</v>
      </c>
      <c r="E84" s="1" t="n">
        <v>46265</v>
      </c>
      <c r="F84" t="inlineStr">
        <is>
          <t>VÄSTRA GÖTALANDS LÄN</t>
        </is>
      </c>
      <c r="G84" t="inlineStr">
        <is>
          <t>STENUNGSUND</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33950-2023</t>
        </is>
      </c>
      <c r="B85" t="inlineStr">
        <is>
          <t>avverkningsanmälan</t>
        </is>
      </c>
      <c r="C85" t="inlineStr">
        <is>
          <t>Föryngringsavverkning</t>
        </is>
      </c>
      <c r="D85" s="1" t="n">
        <v>45134</v>
      </c>
      <c r="E85" s="1" t="n">
        <v>46265</v>
      </c>
      <c r="F85" t="inlineStr">
        <is>
          <t>VÄSTRA GÖTALANDS LÄN</t>
        </is>
      </c>
      <c r="G85" t="inlineStr">
        <is>
          <t>STENUNGSUND</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18016-2026</t>
        </is>
      </c>
      <c r="B86" t="inlineStr">
        <is>
          <t>avverkningsanmälan</t>
        </is>
      </c>
      <c r="C86" t="inlineStr">
        <is>
          <t>Föryngringsavverkning</t>
        </is>
      </c>
      <c r="D86" s="1" t="n">
        <v>46125</v>
      </c>
      <c r="E86" s="1" t="n">
        <v>46265</v>
      </c>
      <c r="F86" t="inlineStr">
        <is>
          <t>VÄSTRA GÖTALANDS LÄN</t>
        </is>
      </c>
      <c r="G86" t="inlineStr">
        <is>
          <t>STENUNGSUND</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40950-2023</t>
        </is>
      </c>
      <c r="B87" t="inlineStr">
        <is>
          <t>avverkningsanmälan</t>
        </is>
      </c>
      <c r="C87" t="inlineStr">
        <is>
          <t>Föryngringsavverkning</t>
        </is>
      </c>
      <c r="D87" s="1" t="n">
        <v>45173</v>
      </c>
      <c r="E87" s="1" t="n">
        <v>46265</v>
      </c>
      <c r="F87" t="inlineStr">
        <is>
          <t>VÄSTRA GÖTALANDS LÄN</t>
        </is>
      </c>
      <c r="G87" t="inlineStr">
        <is>
          <t>STENUNGSUND</t>
        </is>
      </c>
      <c r="I87" t="n">
        <v>6.3</v>
      </c>
      <c r="J87" t="n">
        <v>0</v>
      </c>
      <c r="K87" t="n">
        <v>0</v>
      </c>
      <c r="L87" t="n">
        <v>0</v>
      </c>
      <c r="M87" t="n">
        <v>0</v>
      </c>
      <c r="N87" t="n">
        <v>0</v>
      </c>
      <c r="O87" t="n">
        <v>0</v>
      </c>
      <c r="P87" t="n">
        <v>0</v>
      </c>
      <c r="Q87" t="n">
        <v>0</v>
      </c>
      <c r="R87" t="n">
        <v>0</v>
      </c>
      <c r="S87" t="n">
        <v>0</v>
      </c>
      <c r="T87" t="n">
        <v>0</v>
      </c>
      <c r="U87" t="n">
        <v>0</v>
      </c>
      <c r="V87" s="2" t="inlineStr"/>
    </row>
    <row r="88" ht="15" customHeight="1">
      <c r="A88" t="inlineStr">
        <is>
          <t>A 51661-2023</t>
        </is>
      </c>
      <c r="B88" t="inlineStr">
        <is>
          <t>avverkningsanmälan</t>
        </is>
      </c>
      <c r="C88" t="inlineStr">
        <is>
          <t>Föryngringsavverkning</t>
        </is>
      </c>
      <c r="D88" s="1" t="n">
        <v>45215</v>
      </c>
      <c r="E88" s="1" t="n">
        <v>46265</v>
      </c>
      <c r="F88" t="inlineStr">
        <is>
          <t>VÄSTRA GÖTALANDS LÄN</t>
        </is>
      </c>
      <c r="G88" t="inlineStr">
        <is>
          <t>STENUNGSUND</t>
        </is>
      </c>
      <c r="I88" t="n">
        <v>9.1</v>
      </c>
      <c r="J88" t="n">
        <v>0</v>
      </c>
      <c r="K88" t="n">
        <v>0</v>
      </c>
      <c r="L88" t="n">
        <v>0</v>
      </c>
      <c r="M88" t="n">
        <v>0</v>
      </c>
      <c r="N88" t="n">
        <v>0</v>
      </c>
      <c r="O88" t="n">
        <v>0</v>
      </c>
      <c r="P88" t="n">
        <v>0</v>
      </c>
      <c r="Q88" t="n">
        <v>0</v>
      </c>
      <c r="R88" t="n">
        <v>0</v>
      </c>
      <c r="S88" t="n">
        <v>0</v>
      </c>
      <c r="T88" t="n">
        <v>0</v>
      </c>
      <c r="U88" t="n">
        <v>0</v>
      </c>
      <c r="V88" s="2" t="inlineStr"/>
    </row>
    <row r="89" ht="15" customHeight="1">
      <c r="A89" t="inlineStr">
        <is>
          <t>A 23070-2022</t>
        </is>
      </c>
      <c r="B89" t="inlineStr">
        <is>
          <t>avverkningsanmälan</t>
        </is>
      </c>
      <c r="C89" t="inlineStr">
        <is>
          <t>Föryngringsavverkning</t>
        </is>
      </c>
      <c r="D89" s="1" t="n">
        <v>44719</v>
      </c>
      <c r="E89" s="1" t="n">
        <v>46265</v>
      </c>
      <c r="F89" t="inlineStr">
        <is>
          <t>VÄSTRA GÖTALANDS LÄN</t>
        </is>
      </c>
      <c r="G89" t="inlineStr">
        <is>
          <t>STENUNGSUND</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4578-2023</t>
        </is>
      </c>
      <c r="B90" t="inlineStr">
        <is>
          <t>avverkningsanmälan</t>
        </is>
      </c>
      <c r="C90" t="inlineStr">
        <is>
          <t>Föryngringsavverkning</t>
        </is>
      </c>
      <c r="D90" s="1" t="n">
        <v>44951</v>
      </c>
      <c r="E90" s="1" t="n">
        <v>46265</v>
      </c>
      <c r="F90" t="inlineStr">
        <is>
          <t>VÄSTRA GÖTALANDS LÄN</t>
        </is>
      </c>
      <c r="G90" t="inlineStr">
        <is>
          <t>STENUNGSUND</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34253-2023</t>
        </is>
      </c>
      <c r="B91" t="inlineStr">
        <is>
          <t>avverkningsanmälan</t>
        </is>
      </c>
      <c r="C91" t="inlineStr">
        <is>
          <t>Föryngringsavverkning</t>
        </is>
      </c>
      <c r="D91" s="1" t="n">
        <v>45138</v>
      </c>
      <c r="E91" s="1" t="n">
        <v>46265</v>
      </c>
      <c r="F91" t="inlineStr">
        <is>
          <t>VÄSTRA GÖTALANDS LÄN</t>
        </is>
      </c>
      <c r="G91" t="inlineStr">
        <is>
          <t>STENUNGSUND</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51367-2024</t>
        </is>
      </c>
      <c r="B92" t="inlineStr">
        <is>
          <t>avverkningsanmälan</t>
        </is>
      </c>
      <c r="C92" t="inlineStr">
        <is>
          <t>Föryngringsavverkning</t>
        </is>
      </c>
      <c r="D92" s="1" t="n">
        <v>45604</v>
      </c>
      <c r="E92" s="1" t="n">
        <v>46265</v>
      </c>
      <c r="F92" t="inlineStr">
        <is>
          <t>VÄSTRA GÖTALANDS LÄN</t>
        </is>
      </c>
      <c r="G92" t="inlineStr">
        <is>
          <t>STENUNGSUND</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54931-2024</t>
        </is>
      </c>
      <c r="B93" t="inlineStr">
        <is>
          <t>avverkningsanmälan</t>
        </is>
      </c>
      <c r="C93" t="inlineStr">
        <is>
          <t>Föryngringsavverkning</t>
        </is>
      </c>
      <c r="D93" s="1" t="n">
        <v>45618</v>
      </c>
      <c r="E93" s="1" t="n">
        <v>46265</v>
      </c>
      <c r="F93" t="inlineStr">
        <is>
          <t>VÄSTRA GÖTALANDS LÄN</t>
        </is>
      </c>
      <c r="G93" t="inlineStr">
        <is>
          <t>STENUNGSUND</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15726-2025</t>
        </is>
      </c>
      <c r="B94" t="inlineStr">
        <is>
          <t>avverkningsanmälan</t>
        </is>
      </c>
      <c r="C94" t="inlineStr">
        <is>
          <t>Föryngringsavverkning</t>
        </is>
      </c>
      <c r="D94" s="1" t="n">
        <v>45748</v>
      </c>
      <c r="E94" s="1" t="n">
        <v>46265</v>
      </c>
      <c r="F94" t="inlineStr">
        <is>
          <t>VÄSTRA GÖTALANDS LÄN</t>
        </is>
      </c>
      <c r="G94" t="inlineStr">
        <is>
          <t>STENUNGSUND</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3569-2023</t>
        </is>
      </c>
      <c r="B95" t="inlineStr">
        <is>
          <t>avverkningsanmälan</t>
        </is>
      </c>
      <c r="C95" t="inlineStr">
        <is>
          <t>Föryngringsavverkning</t>
        </is>
      </c>
      <c r="D95" s="1" t="n">
        <v>44950</v>
      </c>
      <c r="E95" s="1" t="n">
        <v>46265</v>
      </c>
      <c r="F95" t="inlineStr">
        <is>
          <t>VÄSTRA GÖTALANDS LÄN</t>
        </is>
      </c>
      <c r="G95" t="inlineStr">
        <is>
          <t>STENUNGSUND</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8684-2024</t>
        </is>
      </c>
      <c r="B96" t="inlineStr">
        <is>
          <t>avverkningsanmälan</t>
        </is>
      </c>
      <c r="C96" t="inlineStr">
        <is>
          <t>Föryngringsavverkning</t>
        </is>
      </c>
      <c r="D96" s="1" t="n">
        <v>45356</v>
      </c>
      <c r="E96" s="1" t="n">
        <v>46265</v>
      </c>
      <c r="F96" t="inlineStr">
        <is>
          <t>VÄSTRA GÖTALANDS LÄN</t>
        </is>
      </c>
      <c r="G96" t="inlineStr">
        <is>
          <t>STENUNGSUND</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8544-2023</t>
        </is>
      </c>
      <c r="B97" t="inlineStr">
        <is>
          <t>avverkningsanmälan</t>
        </is>
      </c>
      <c r="C97" t="inlineStr">
        <is>
          <t>Föryngringsavverkning</t>
        </is>
      </c>
      <c r="D97" s="1" t="n">
        <v>44977</v>
      </c>
      <c r="E97" s="1" t="n">
        <v>46265</v>
      </c>
      <c r="F97" t="inlineStr">
        <is>
          <t>VÄSTRA GÖTALANDS LÄN</t>
        </is>
      </c>
      <c r="G97" t="inlineStr">
        <is>
          <t>STENUNGSUND</t>
        </is>
      </c>
      <c r="I97" t="n">
        <v>8.199999999999999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8567-2023</t>
        </is>
      </c>
      <c r="B98" t="inlineStr">
        <is>
          <t>avverkningsanmälan</t>
        </is>
      </c>
      <c r="C98" t="inlineStr">
        <is>
          <t>Föryngringsavverkning</t>
        </is>
      </c>
      <c r="D98" s="1" t="n">
        <v>44977</v>
      </c>
      <c r="E98" s="1" t="n">
        <v>46265</v>
      </c>
      <c r="F98" t="inlineStr">
        <is>
          <t>VÄSTRA GÖTALANDS LÄN</t>
        </is>
      </c>
      <c r="G98" t="inlineStr">
        <is>
          <t>STENUNGSUND</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809-2025</t>
        </is>
      </c>
      <c r="B99" t="inlineStr">
        <is>
          <t>avverkningsanmälan</t>
        </is>
      </c>
      <c r="C99" t="inlineStr">
        <is>
          <t>Föryngringsavverkning</t>
        </is>
      </c>
      <c r="D99" s="1" t="n">
        <v>45665</v>
      </c>
      <c r="E99" s="1" t="n">
        <v>46265</v>
      </c>
      <c r="F99" t="inlineStr">
        <is>
          <t>VÄSTRA GÖTALANDS LÄN</t>
        </is>
      </c>
      <c r="G99" t="inlineStr">
        <is>
          <t>STENUNGSUND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23115-2026</t>
        </is>
      </c>
      <c r="B100" t="inlineStr">
        <is>
          <t>avverkningsanmälan</t>
        </is>
      </c>
      <c r="C100" t="inlineStr">
        <is>
          <t>Föryngringsavverkning</t>
        </is>
      </c>
      <c r="D100" s="1" t="n">
        <v>46161</v>
      </c>
      <c r="E100" s="1" t="n">
        <v>46265</v>
      </c>
      <c r="F100" t="inlineStr">
        <is>
          <t>VÄSTRA GÖTALANDS LÄN</t>
        </is>
      </c>
      <c r="G100" t="inlineStr">
        <is>
          <t>STENUNGSUND</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19709-2026</t>
        </is>
      </c>
      <c r="B101" t="inlineStr">
        <is>
          <t>avverkningsanmälan</t>
        </is>
      </c>
      <c r="C101" t="inlineStr">
        <is>
          <t>Föryngringsavverkning</t>
        </is>
      </c>
      <c r="D101" s="1" t="n">
        <v>46134</v>
      </c>
      <c r="E101" s="1" t="n">
        <v>46265</v>
      </c>
      <c r="F101" t="inlineStr">
        <is>
          <t>VÄSTRA GÖTALANDS LÄN</t>
        </is>
      </c>
      <c r="G101" t="inlineStr">
        <is>
          <t>STENUNGSUND</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26654-2026</t>
        </is>
      </c>
      <c r="B102" t="inlineStr">
        <is>
          <t>avverkningsanmälan</t>
        </is>
      </c>
      <c r="C102" t="inlineStr">
        <is>
          <t>Föryngringsavverkning</t>
        </is>
      </c>
      <c r="D102" s="1" t="n">
        <v>46184</v>
      </c>
      <c r="E102" s="1" t="n">
        <v>46265</v>
      </c>
      <c r="F102" t="inlineStr">
        <is>
          <t>VÄSTRA GÖTALANDS LÄN</t>
        </is>
      </c>
      <c r="G102" t="inlineStr">
        <is>
          <t>STENUNGSUND</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48895-2023</t>
        </is>
      </c>
      <c r="B103" t="inlineStr">
        <is>
          <t>avverkningsanmälan</t>
        </is>
      </c>
      <c r="C103" t="inlineStr">
        <is>
          <t>Föryngringsavverkning</t>
        </is>
      </c>
      <c r="D103" s="1" t="n">
        <v>45209</v>
      </c>
      <c r="E103" s="1" t="n">
        <v>46265</v>
      </c>
      <c r="F103" t="inlineStr">
        <is>
          <t>VÄSTRA GÖTALANDS LÄN</t>
        </is>
      </c>
      <c r="G103" t="inlineStr">
        <is>
          <t>STENUNGSUND</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28665-2026</t>
        </is>
      </c>
      <c r="B104" t="inlineStr">
        <is>
          <t>avverkningsanmälan</t>
        </is>
      </c>
      <c r="C104" t="inlineStr">
        <is>
          <t>Föryngringsavverkning</t>
        </is>
      </c>
      <c r="D104" s="1" t="n">
        <v>46191</v>
      </c>
      <c r="E104" s="1" t="n">
        <v>46265</v>
      </c>
      <c r="F104" t="inlineStr">
        <is>
          <t>VÄSTRA GÖTALANDS LÄN</t>
        </is>
      </c>
      <c r="G104" t="inlineStr">
        <is>
          <t>STENUNGSUND</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32931-2026</t>
        </is>
      </c>
      <c r="B105" t="inlineStr">
        <is>
          <t>avverkningsanmälan</t>
        </is>
      </c>
      <c r="C105" t="inlineStr">
        <is>
          <t>Föryngringsavverkning</t>
        </is>
      </c>
      <c r="D105" s="1" t="n">
        <v>46244</v>
      </c>
      <c r="E105" s="1" t="n">
        <v>46265</v>
      </c>
      <c r="F105" t="inlineStr">
        <is>
          <t>VÄSTRA GÖTALANDS LÄN</t>
        </is>
      </c>
      <c r="G105" t="inlineStr">
        <is>
          <t>STENUNGSUND</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30170-2026</t>
        </is>
      </c>
      <c r="B106" t="inlineStr">
        <is>
          <t>avverkningsanmälan</t>
        </is>
      </c>
      <c r="C106" t="inlineStr">
        <is>
          <t>Föryngringsavverkning</t>
        </is>
      </c>
      <c r="D106" s="1" t="n">
        <v>46206</v>
      </c>
      <c r="E106" s="1" t="n">
        <v>46265</v>
      </c>
      <c r="F106" t="inlineStr">
        <is>
          <t>VÄSTRA GÖTALANDS LÄN</t>
        </is>
      </c>
      <c r="G106" t="inlineStr">
        <is>
          <t>STENUNGSUND</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32997-2025</t>
        </is>
      </c>
      <c r="B107" t="inlineStr">
        <is>
          <t>avverkningsanmälan</t>
        </is>
      </c>
      <c r="C107" t="inlineStr">
        <is>
          <t>Föryngringsavverkning</t>
        </is>
      </c>
      <c r="D107" s="1" t="n">
        <v>45840</v>
      </c>
      <c r="E107" s="1" t="n">
        <v>46265</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row r="108">
      <c r="A108" t="inlineStr">
        <is>
          <t>S 478-2022</t>
        </is>
      </c>
      <c r="B108" t="inlineStr">
        <is>
          <t>samrådsanmälan</t>
        </is>
      </c>
      <c r="C108" t="inlineStr">
        <is>
          <t>Skogsbilväg</t>
        </is>
      </c>
      <c r="D108" s="1" t="n">
        <v>44587</v>
      </c>
      <c r="E108" s="1" t="n">
        <v>46265</v>
      </c>
      <c r="F108" t="inlineStr">
        <is>
          <t>VÄSTRA GÖTALANDS LÄN</t>
        </is>
      </c>
      <c r="G108" t="inlineStr">
        <is>
          <t>STENUNGSUND</t>
        </is>
      </c>
      <c r="I108" t="n">
        <v>1.6</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2026-08-31T09:56:29Z</dcterms:created>
  <dcterms:modified xmlns:dcterms="http://purl.org/dc/terms/" xmlns:xsi="http://www.w3.org/2001/XMLSchema-instance" xsi:type="dcterms:W3CDTF">2026-08-31T09:56:29Z</dcterms:modified>
</cp:coreProperties>
</file>