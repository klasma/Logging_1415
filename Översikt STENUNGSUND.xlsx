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46219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46219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46219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46219</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46219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46219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46219</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46219</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46219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46219</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s="2" t="inlineStr">
        <is>
          <t>Mindre hackspett
Blåmossa</t>
        </is>
      </c>
      <c r="V11">
        <f>HYPERLINK("https://klasma.github.io/Logging_1415/artfynd/A 60706-2023 artfynd.xlsx", "A 60706-2023")</f>
        <v/>
      </c>
      <c r="W11">
        <f>HYPERLINK("https://klasma.github.io/Logging_1415/kartor/A 60706-2023 karta.png", "A 60706-2023")</f>
        <v/>
      </c>
      <c r="Y11">
        <f>HYPERLINK("https://klasma.github.io/Logging_1415/klagomål/A 60706-2023 FSC-klagomål.docx", "A 60706-2023")</f>
        <v/>
      </c>
      <c r="Z11">
        <f>HYPERLINK("https://klasma.github.io/Logging_1415/klagomålsmail/A 60706-2023 FSC-klagomål mail.docx", "A 60706-2023")</f>
        <v/>
      </c>
      <c r="AA11">
        <f>HYPERLINK("https://klasma.github.io/Logging_1415/tillsyn/A 60706-2023 tillsynsbegäran.docx", "A 60706-2023")</f>
        <v/>
      </c>
      <c r="AB11">
        <f>HYPERLINK("https://klasma.github.io/Logging_1415/tillsynsmail/A 60706-2023 tillsynsbegäran mail.docx", "A 60706-2023")</f>
        <v/>
      </c>
      <c r="AC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46219</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s="2" t="inlineStr">
        <is>
          <t>Grönfink
Ärtsångare</t>
        </is>
      </c>
      <c r="V12">
        <f>HYPERLINK("https://klasma.github.io/Logging_1415/artfynd/A 4765-2026 artfynd.xlsx", "A 4765-2026")</f>
        <v/>
      </c>
      <c r="W12">
        <f>HYPERLINK("https://klasma.github.io/Logging_1415/kartor/A 4765-2026 karta.png", "A 4765-2026")</f>
        <v/>
      </c>
      <c r="Y12">
        <f>HYPERLINK("https://klasma.github.io/Logging_1415/klagomål/A 4765-2026 FSC-klagomål.docx", "A 4765-2026")</f>
        <v/>
      </c>
      <c r="Z12">
        <f>HYPERLINK("https://klasma.github.io/Logging_1415/klagomålsmail/A 4765-2026 FSC-klagomål mail.docx", "A 4765-2026")</f>
        <v/>
      </c>
      <c r="AA12">
        <f>HYPERLINK("https://klasma.github.io/Logging_1415/tillsyn/A 4765-2026 tillsynsbegäran.docx", "A 4765-2026")</f>
        <v/>
      </c>
      <c r="AB12">
        <f>HYPERLINK("https://klasma.github.io/Logging_1415/tillsynsmail/A 4765-2026 tillsynsbegäran mail.docx", "A 4765-2026")</f>
        <v/>
      </c>
      <c r="AC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46219</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s="2" t="inlineStr">
        <is>
          <t>Lopplummer (aggregat)
Revlummer</t>
        </is>
      </c>
      <c r="V13">
        <f>HYPERLINK("https://klasma.github.io/Logging_1415/artfynd/A 50295-2024 artfynd.xlsx", "A 50295-2024")</f>
        <v/>
      </c>
      <c r="W13">
        <f>HYPERLINK("https://klasma.github.io/Logging_1415/kartor/A 50295-2024 karta.png", "A 50295-2024")</f>
        <v/>
      </c>
      <c r="Y13">
        <f>HYPERLINK("https://klasma.github.io/Logging_1415/klagomål/A 50295-2024 FSC-klagomål.docx", "A 50295-2024")</f>
        <v/>
      </c>
      <c r="Z13">
        <f>HYPERLINK("https://klasma.github.io/Logging_1415/klagomålsmail/A 50295-2024 FSC-klagomål mail.docx", "A 50295-2024")</f>
        <v/>
      </c>
      <c r="AA13">
        <f>HYPERLINK("https://klasma.github.io/Logging_1415/tillsyn/A 50295-2024 tillsynsbegäran.docx", "A 50295-2024")</f>
        <v/>
      </c>
      <c r="AB13">
        <f>HYPERLINK("https://klasma.github.io/Logging_1415/tillsynsmail/A 50295-2024 tillsynsbegäran mail.docx", "A 50295-2024")</f>
        <v/>
      </c>
    </row>
    <row r="14" ht="15" customHeight="1">
      <c r="A14" t="inlineStr">
        <is>
          <t>A 8576-2023</t>
        </is>
      </c>
      <c r="B14" t="inlineStr">
        <is>
          <t>avverkningsanmälan</t>
        </is>
      </c>
      <c r="C14" t="inlineStr">
        <is>
          <t>Föryngringsavverkning</t>
        </is>
      </c>
      <c r="D14" s="1" t="n">
        <v>44977</v>
      </c>
      <c r="E14" s="1" t="n">
        <v>46219</v>
      </c>
      <c r="F14" t="inlineStr">
        <is>
          <t>VÄSTRA GÖTALANDS LÄN</t>
        </is>
      </c>
      <c r="G14" t="inlineStr">
        <is>
          <t>STENUNGSUND</t>
        </is>
      </c>
      <c r="I14" t="n">
        <v>2.1</v>
      </c>
      <c r="J14" t="n">
        <v>1</v>
      </c>
      <c r="K14" t="n">
        <v>0</v>
      </c>
      <c r="L14" t="n">
        <v>0</v>
      </c>
      <c r="M14" t="n">
        <v>0</v>
      </c>
      <c r="N14" t="n">
        <v>0</v>
      </c>
      <c r="O14" t="n">
        <v>0</v>
      </c>
      <c r="P14" t="n">
        <v>0</v>
      </c>
      <c r="Q14" t="n">
        <v>0</v>
      </c>
      <c r="R14" t="n">
        <v>0</v>
      </c>
      <c r="S14" t="n">
        <v>1</v>
      </c>
      <c r="T14" t="n">
        <v>1</v>
      </c>
      <c r="U14" s="2" t="inlineStr">
        <is>
          <t>Kungsfågel</t>
        </is>
      </c>
      <c r="V14">
        <f>HYPERLINK("https://klasma.github.io/Logging_1415/artfynd/A 8576-2023 artfynd.xlsx", "A 8576-2023")</f>
        <v/>
      </c>
      <c r="W14">
        <f>HYPERLINK("https://klasma.github.io/Logging_1415/kartor/A 8576-2023 karta.png", "A 8576-2023")</f>
        <v/>
      </c>
      <c r="Y14">
        <f>HYPERLINK("https://klasma.github.io/Logging_1415/klagomål/A 8576-2023 FSC-klagomål.docx", "A 8576-2023")</f>
        <v/>
      </c>
      <c r="Z14">
        <f>HYPERLINK("https://klasma.github.io/Logging_1415/klagomålsmail/A 8576-2023 FSC-klagomål mail.docx", "A 8576-2023")</f>
        <v/>
      </c>
      <c r="AA14">
        <f>HYPERLINK("https://klasma.github.io/Logging_1415/tillsyn/A 8576-2023 tillsynsbegäran.docx", "A 8576-2023")</f>
        <v/>
      </c>
      <c r="AB14">
        <f>HYPERLINK("https://klasma.github.io/Logging_1415/tillsynsmail/A 8576-2023 tillsynsbegäran mail.docx", "A 8576-2023")</f>
        <v/>
      </c>
    </row>
    <row r="15" ht="15" customHeight="1">
      <c r="A15" t="inlineStr">
        <is>
          <t>A 6293-2022</t>
        </is>
      </c>
      <c r="B15" t="inlineStr">
        <is>
          <t>avverkningsanmälan</t>
        </is>
      </c>
      <c r="C15" t="inlineStr">
        <is>
          <t>Avverkning för annat ändamål</t>
        </is>
      </c>
      <c r="D15" s="1" t="n">
        <v>44600</v>
      </c>
      <c r="E15" s="1" t="n">
        <v>46219</v>
      </c>
      <c r="F15" t="inlineStr">
        <is>
          <t>VÄSTRA GÖTALANDS LÄN</t>
        </is>
      </c>
      <c r="G15" t="inlineStr">
        <is>
          <t>STENUNGSUND</t>
        </is>
      </c>
      <c r="I15" t="n">
        <v>0.3</v>
      </c>
      <c r="J15" t="n">
        <v>0</v>
      </c>
      <c r="K15" t="n">
        <v>0</v>
      </c>
      <c r="L15" t="n">
        <v>1</v>
      </c>
      <c r="M15" t="n">
        <v>0</v>
      </c>
      <c r="N15" t="n">
        <v>0</v>
      </c>
      <c r="O15" t="n">
        <v>0</v>
      </c>
      <c r="P15" t="n">
        <v>0</v>
      </c>
      <c r="Q15" t="n">
        <v>1</v>
      </c>
      <c r="R15" t="n">
        <v>0</v>
      </c>
      <c r="S15" t="n">
        <v>1</v>
      </c>
      <c r="T15" t="n">
        <v>2</v>
      </c>
      <c r="U15" s="2" t="inlineStr">
        <is>
          <t>Öring</t>
        </is>
      </c>
      <c r="V15">
        <f>HYPERLINK("https://klasma.github.io/Logging_1415/artfynd/A 6293-2022 artfynd.xlsx", "A 6293-2022")</f>
        <v/>
      </c>
      <c r="W15">
        <f>HYPERLINK("https://klasma.github.io/Logging_1415/kartor/A 6293-2022 karta.png", "A 6293-2022")</f>
        <v/>
      </c>
      <c r="Y15">
        <f>HYPERLINK("https://klasma.github.io/Logging_1415/klagomål/A 6293-2022 FSC-klagomål.docx", "A 6293-2022")</f>
        <v/>
      </c>
      <c r="Z15">
        <f>HYPERLINK("https://klasma.github.io/Logging_1415/klagomålsmail/A 6293-2022 FSC-klagomål mail.docx", "A 6293-2022")</f>
        <v/>
      </c>
      <c r="AA15">
        <f>HYPERLINK("https://klasma.github.io/Logging_1415/tillsyn/A 6293-2022 tillsynsbegäran.docx", "A 6293-2022")</f>
        <v/>
      </c>
      <c r="AB15">
        <f>HYPERLINK("https://klasma.github.io/Logging_1415/tillsynsmail/A 6293-2022 tillsynsbegäran mail.docx", "A 6293-2022")</f>
        <v/>
      </c>
    </row>
    <row r="16" ht="15" customHeight="1">
      <c r="A16" t="inlineStr">
        <is>
          <t>A 53156-2021</t>
        </is>
      </c>
      <c r="B16" t="inlineStr">
        <is>
          <t>avverkningsanmälan</t>
        </is>
      </c>
      <c r="C16" t="inlineStr">
        <is>
          <t>Föryngringsavverkning</t>
        </is>
      </c>
      <c r="D16" s="1" t="n">
        <v>44468</v>
      </c>
      <c r="E16" s="1" t="n">
        <v>46219</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s="2" t="inlineStr">
        <is>
          <t>Knärot</t>
        </is>
      </c>
      <c r="V16">
        <f>HYPERLINK("https://klasma.github.io/Logging_1415/artfynd/A 53156-2021 artfynd.xlsx", "A 53156-2021")</f>
        <v/>
      </c>
      <c r="W16">
        <f>HYPERLINK("https://klasma.github.io/Logging_1415/kartor/A 53156-2021 karta.png", "A 53156-2021")</f>
        <v/>
      </c>
      <c r="X16">
        <f>HYPERLINK("https://klasma.github.io/Logging_1415/knärot/A 53156-2021 karta knärot.png", "A 53156-2021")</f>
        <v/>
      </c>
      <c r="Y16">
        <f>HYPERLINK("https://klasma.github.io/Logging_1415/klagomål/A 53156-2021 FSC-klagomål.docx", "A 53156-2021")</f>
        <v/>
      </c>
      <c r="Z16">
        <f>HYPERLINK("https://klasma.github.io/Logging_1415/klagomålsmail/A 53156-2021 FSC-klagomål mail.docx", "A 53156-2021")</f>
        <v/>
      </c>
      <c r="AA16">
        <f>HYPERLINK("https://klasma.github.io/Logging_1415/tillsyn/A 53156-2021 tillsynsbegäran.docx", "A 53156-2021")</f>
        <v/>
      </c>
      <c r="AB16">
        <f>HYPERLINK("https://klasma.github.io/Logging_1415/tillsynsmail/A 53156-2021 tillsynsbegäran mail.docx", "A 53156-2021")</f>
        <v/>
      </c>
    </row>
    <row r="17" ht="15" customHeight="1">
      <c r="A17" t="inlineStr">
        <is>
          <t>A 12075-2022</t>
        </is>
      </c>
      <c r="B17" t="inlineStr">
        <is>
          <t>avverkningsanmälan</t>
        </is>
      </c>
      <c r="C17" t="inlineStr">
        <is>
          <t>Föryngringsavverkning</t>
        </is>
      </c>
      <c r="D17" s="1" t="n">
        <v>44636</v>
      </c>
      <c r="E17" s="1" t="n">
        <v>46219</v>
      </c>
      <c r="F17" t="inlineStr">
        <is>
          <t>VÄSTRA GÖTALANDS LÄN</t>
        </is>
      </c>
      <c r="G17" t="inlineStr">
        <is>
          <t>STENUNGSUND</t>
        </is>
      </c>
      <c r="I17" t="n">
        <v>7.5</v>
      </c>
      <c r="J17" t="n">
        <v>1</v>
      </c>
      <c r="K17" t="n">
        <v>0</v>
      </c>
      <c r="L17" t="n">
        <v>0</v>
      </c>
      <c r="M17" t="n">
        <v>1</v>
      </c>
      <c r="N17" t="n">
        <v>0</v>
      </c>
      <c r="O17" t="n">
        <v>0</v>
      </c>
      <c r="P17" t="n">
        <v>0</v>
      </c>
      <c r="Q17" t="n">
        <v>1</v>
      </c>
      <c r="R17" t="n">
        <v>1</v>
      </c>
      <c r="S17" t="n">
        <v>1</v>
      </c>
      <c r="T17" t="n">
        <v>1</v>
      </c>
      <c r="U17" s="2" t="inlineStr">
        <is>
          <t>Bredgentiana</t>
        </is>
      </c>
      <c r="V17">
        <f>HYPERLINK("https://klasma.github.io/Logging_1415/artfynd/A 12075-2022 artfynd.xlsx", "A 12075-2022")</f>
        <v/>
      </c>
      <c r="W17">
        <f>HYPERLINK("https://klasma.github.io/Logging_1415/kartor/A 12075-2022 karta.png", "A 12075-2022")</f>
        <v/>
      </c>
      <c r="Y17">
        <f>HYPERLINK("https://klasma.github.io/Logging_1415/klagomål/A 12075-2022 FSC-klagomål.docx", "A 12075-2022")</f>
        <v/>
      </c>
      <c r="Z17">
        <f>HYPERLINK("https://klasma.github.io/Logging_1415/klagomålsmail/A 12075-2022 FSC-klagomål mail.docx", "A 12075-2022")</f>
        <v/>
      </c>
      <c r="AA17">
        <f>HYPERLINK("https://klasma.github.io/Logging_1415/tillsyn/A 12075-2022 tillsynsbegäran.docx", "A 12075-2022")</f>
        <v/>
      </c>
      <c r="AB17">
        <f>HYPERLINK("https://klasma.github.io/Logging_1415/tillsynsmail/A 12075-2022 tillsynsbegäran mail.docx", "A 12075-2022")</f>
        <v/>
      </c>
    </row>
    <row r="18" ht="15" customHeight="1">
      <c r="A18" t="inlineStr">
        <is>
          <t>A 6147-2022</t>
        </is>
      </c>
      <c r="B18" t="inlineStr">
        <is>
          <t>avverkningsanmälan</t>
        </is>
      </c>
      <c r="C18" t="inlineStr">
        <is>
          <t>Föryngringsavverkning</t>
        </is>
      </c>
      <c r="D18" s="1" t="n">
        <v>44599</v>
      </c>
      <c r="E18" s="1" t="n">
        <v>46219</v>
      </c>
      <c r="F18" t="inlineStr">
        <is>
          <t>VÄSTRA GÖTALANDS LÄN</t>
        </is>
      </c>
      <c r="G18" t="inlineStr">
        <is>
          <t>STENUNGSUND</t>
        </is>
      </c>
      <c r="I18" t="n">
        <v>2.2</v>
      </c>
      <c r="J18" t="n">
        <v>0</v>
      </c>
      <c r="K18" t="n">
        <v>0</v>
      </c>
      <c r="L18" t="n">
        <v>0</v>
      </c>
      <c r="M18" t="n">
        <v>1</v>
      </c>
      <c r="N18" t="n">
        <v>0</v>
      </c>
      <c r="O18" t="n">
        <v>0</v>
      </c>
      <c r="P18" t="n">
        <v>0</v>
      </c>
      <c r="Q18" t="n">
        <v>1</v>
      </c>
      <c r="R18" t="n">
        <v>1</v>
      </c>
      <c r="S18" t="n">
        <v>1</v>
      </c>
      <c r="T18" t="n">
        <v>1</v>
      </c>
      <c r="U18" s="2" t="inlineStr">
        <is>
          <t>Brunfläckig pärlemorfjäril</t>
        </is>
      </c>
      <c r="V18">
        <f>HYPERLINK("https://klasma.github.io/Logging_1415/artfynd/A 6147-2022 artfynd.xlsx", "A 6147-2022")</f>
        <v/>
      </c>
      <c r="W18">
        <f>HYPERLINK("https://klasma.github.io/Logging_1415/kartor/A 6147-2022 karta.png", "A 6147-2022")</f>
        <v/>
      </c>
      <c r="Y18">
        <f>HYPERLINK("https://klasma.github.io/Logging_1415/klagomål/A 6147-2022 FSC-klagomål.docx", "A 6147-2022")</f>
        <v/>
      </c>
      <c r="Z18">
        <f>HYPERLINK("https://klasma.github.io/Logging_1415/klagomålsmail/A 6147-2022 FSC-klagomål mail.docx", "A 6147-2022")</f>
        <v/>
      </c>
      <c r="AA18">
        <f>HYPERLINK("https://klasma.github.io/Logging_1415/tillsyn/A 6147-2022 tillsynsbegäran.docx", "A 6147-2022")</f>
        <v/>
      </c>
      <c r="AB18">
        <f>HYPERLINK("https://klasma.github.io/Logging_1415/tillsynsmail/A 6147-2022 tillsynsbegäran mail.docx", "A 6147-2022")</f>
        <v/>
      </c>
    </row>
    <row r="19" ht="15" customHeight="1">
      <c r="A19" t="inlineStr">
        <is>
          <t>A 50508-2025</t>
        </is>
      </c>
      <c r="B19" t="inlineStr">
        <is>
          <t>avverkningsanmälan</t>
        </is>
      </c>
      <c r="C19" t="inlineStr">
        <is>
          <t>Föryngringsavverkning</t>
        </is>
      </c>
      <c r="D19" s="1" t="n">
        <v>45945</v>
      </c>
      <c r="E19" s="1" t="n">
        <v>46219</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s="2" t="inlineStr">
        <is>
          <t>Skogsduva</t>
        </is>
      </c>
      <c r="V19">
        <f>HYPERLINK("https://klasma.github.io/Logging_1415/artfynd/A 50508-2025 artfynd.xlsx", "A 50508-2025")</f>
        <v/>
      </c>
      <c r="W19">
        <f>HYPERLINK("https://klasma.github.io/Logging_1415/kartor/A 50508-2025 karta.png", "A 50508-2025")</f>
        <v/>
      </c>
      <c r="Y19">
        <f>HYPERLINK("https://klasma.github.io/Logging_1415/klagomål/A 50508-2025 FSC-klagomål.docx", "A 50508-2025")</f>
        <v/>
      </c>
      <c r="Z19">
        <f>HYPERLINK("https://klasma.github.io/Logging_1415/klagomålsmail/A 50508-2025 FSC-klagomål mail.docx", "A 50508-2025")</f>
        <v/>
      </c>
      <c r="AA19">
        <f>HYPERLINK("https://klasma.github.io/Logging_1415/tillsyn/A 50508-2025 tillsynsbegäran.docx", "A 50508-2025")</f>
        <v/>
      </c>
      <c r="AB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46219</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s="2" t="inlineStr">
        <is>
          <t>Blåmossa</t>
        </is>
      </c>
      <c r="V20">
        <f>HYPERLINK("https://klasma.github.io/Logging_1415/artfynd/A 54611-2025 artfynd.xlsx", "A 54611-2025")</f>
        <v/>
      </c>
      <c r="W20">
        <f>HYPERLINK("https://klasma.github.io/Logging_1415/kartor/A 54611-2025 karta.png", "A 54611-2025")</f>
        <v/>
      </c>
      <c r="Y20">
        <f>HYPERLINK("https://klasma.github.io/Logging_1415/klagomål/A 54611-2025 FSC-klagomål.docx", "A 54611-2025")</f>
        <v/>
      </c>
      <c r="Z20">
        <f>HYPERLINK("https://klasma.github.io/Logging_1415/klagomålsmail/A 54611-2025 FSC-klagomål mail.docx", "A 54611-2025")</f>
        <v/>
      </c>
      <c r="AA20">
        <f>HYPERLINK("https://klasma.github.io/Logging_1415/tillsyn/A 54611-2025 tillsynsbegäran.docx", "A 54611-2025")</f>
        <v/>
      </c>
      <c r="AB20">
        <f>HYPERLINK("https://klasma.github.io/Logging_1415/tillsynsmail/A 54611-2025 tillsynsbegäran mail.docx", "A 54611-2025")</f>
        <v/>
      </c>
    </row>
    <row r="21" ht="15" customHeight="1">
      <c r="A21" t="inlineStr">
        <is>
          <t>A 25125-2026</t>
        </is>
      </c>
      <c r="B21" t="inlineStr">
        <is>
          <t>avverkningsanmälan</t>
        </is>
      </c>
      <c r="C21" t="inlineStr">
        <is>
          <t>Föryngringsavverkning</t>
        </is>
      </c>
      <c r="D21" s="1" t="n">
        <v>46175</v>
      </c>
      <c r="E21" s="1" t="n">
        <v>46219</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s="2" t="inlineStr">
        <is>
          <t>Revlummer</t>
        </is>
      </c>
      <c r="V21">
        <f>HYPERLINK("https://klasma.github.io/Logging_1415/artfynd/A 25125-2026 artfynd.xlsx", "A 25125-2026")</f>
        <v/>
      </c>
      <c r="W21">
        <f>HYPERLINK("https://klasma.github.io/Logging_1415/kartor/A 25125-2026 karta.png", "A 25125-2026")</f>
        <v/>
      </c>
      <c r="Y21">
        <f>HYPERLINK("https://klasma.github.io/Logging_1415/klagomål/A 25125-2026 FSC-klagomål.docx", "A 25125-2026")</f>
        <v/>
      </c>
      <c r="Z21">
        <f>HYPERLINK("https://klasma.github.io/Logging_1415/klagomålsmail/A 25125-2026 FSC-klagomål mail.docx", "A 25125-2026")</f>
        <v/>
      </c>
      <c r="AA21">
        <f>HYPERLINK("https://klasma.github.io/Logging_1415/tillsyn/A 25125-2026 tillsynsbegäran.docx", "A 25125-2026")</f>
        <v/>
      </c>
      <c r="AB21">
        <f>HYPERLINK("https://klasma.github.io/Logging_1415/tillsynsmail/A 25125-2026 tillsynsbegäran mail.docx", "A 25125-2026")</f>
        <v/>
      </c>
    </row>
    <row r="22" ht="15" customHeight="1">
      <c r="A22" t="inlineStr">
        <is>
          <t>A 4769-2026</t>
        </is>
      </c>
      <c r="B22" t="inlineStr">
        <is>
          <t>avverkningsanmälan</t>
        </is>
      </c>
      <c r="C22" t="inlineStr">
        <is>
          <t>Föryngringsavverkning</t>
        </is>
      </c>
      <c r="D22" s="1" t="n">
        <v>46048</v>
      </c>
      <c r="E22" s="1" t="n">
        <v>46219</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s="2" t="inlineStr">
        <is>
          <t>Kråka</t>
        </is>
      </c>
      <c r="V22">
        <f>HYPERLINK("https://klasma.github.io/Logging_1415/artfynd/A 4769-2026 artfynd.xlsx", "A 4769-2026")</f>
        <v/>
      </c>
      <c r="W22">
        <f>HYPERLINK("https://klasma.github.io/Logging_1415/kartor/A 4769-2026 karta.png", "A 4769-2026")</f>
        <v/>
      </c>
      <c r="Y22">
        <f>HYPERLINK("https://klasma.github.io/Logging_1415/klagomål/A 4769-2026 FSC-klagomål.docx", "A 4769-2026")</f>
        <v/>
      </c>
      <c r="Z22">
        <f>HYPERLINK("https://klasma.github.io/Logging_1415/klagomålsmail/A 4769-2026 FSC-klagomål mail.docx", "A 4769-2026")</f>
        <v/>
      </c>
      <c r="AA22">
        <f>HYPERLINK("https://klasma.github.io/Logging_1415/tillsyn/A 4769-2026 tillsynsbegäran.docx", "A 4769-2026")</f>
        <v/>
      </c>
      <c r="AB22">
        <f>HYPERLINK("https://klasma.github.io/Logging_1415/tillsynsmail/A 4769-2026 tillsynsbegäran mail.docx", "A 4769-2026")</f>
        <v/>
      </c>
    </row>
    <row r="23" ht="15" customHeight="1">
      <c r="A23" t="inlineStr">
        <is>
          <t>A 17346-2026</t>
        </is>
      </c>
      <c r="B23" t="inlineStr">
        <is>
          <t>avverkningsanmälan</t>
        </is>
      </c>
      <c r="C23" t="inlineStr">
        <is>
          <t>Föryngringsavverkning</t>
        </is>
      </c>
      <c r="D23" s="1" t="n">
        <v>46119</v>
      </c>
      <c r="E23" s="1" t="n">
        <v>46219</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s="2" t="inlineStr">
        <is>
          <t>Spillkråka</t>
        </is>
      </c>
      <c r="V23">
        <f>HYPERLINK("https://klasma.github.io/Logging_1415/artfynd/A 17346-2026 artfynd.xlsx", "A 17346-2026")</f>
        <v/>
      </c>
      <c r="W23">
        <f>HYPERLINK("https://klasma.github.io/Logging_1415/kartor/A 17346-2026 karta.png", "A 17346-2026")</f>
        <v/>
      </c>
      <c r="Y23">
        <f>HYPERLINK("https://klasma.github.io/Logging_1415/klagomål/A 17346-2026 FSC-klagomål.docx", "A 17346-2026")</f>
        <v/>
      </c>
      <c r="Z23">
        <f>HYPERLINK("https://klasma.github.io/Logging_1415/klagomålsmail/A 17346-2026 FSC-klagomål mail.docx", "A 17346-2026")</f>
        <v/>
      </c>
      <c r="AA23">
        <f>HYPERLINK("https://klasma.github.io/Logging_1415/tillsyn/A 17346-2026 tillsynsbegäran.docx", "A 17346-2026")</f>
        <v/>
      </c>
      <c r="AB23">
        <f>HYPERLINK("https://klasma.github.io/Logging_1415/tillsynsmail/A 17346-2026 tillsynsbegäran mail.docx", "A 17346-2026")</f>
        <v/>
      </c>
      <c r="AC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46219</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s="2" t="inlineStr">
        <is>
          <t>Mattlummer</t>
        </is>
      </c>
      <c r="V24">
        <f>HYPERLINK("https://klasma.github.io/Logging_1415/artfynd/A 45000-2024 artfynd.xlsx", "A 45000-2024")</f>
        <v/>
      </c>
      <c r="W24">
        <f>HYPERLINK("https://klasma.github.io/Logging_1415/kartor/A 45000-2024 karta.png", "A 45000-2024")</f>
        <v/>
      </c>
      <c r="Y24">
        <f>HYPERLINK("https://klasma.github.io/Logging_1415/klagomål/A 45000-2024 FSC-klagomål.docx", "A 45000-2024")</f>
        <v/>
      </c>
      <c r="Z24">
        <f>HYPERLINK("https://klasma.github.io/Logging_1415/klagomålsmail/A 45000-2024 FSC-klagomål mail.docx", "A 45000-2024")</f>
        <v/>
      </c>
      <c r="AA24">
        <f>HYPERLINK("https://klasma.github.io/Logging_1415/tillsyn/A 45000-2024 tillsynsbegäran.docx", "A 45000-2024")</f>
        <v/>
      </c>
      <c r="AB24">
        <f>HYPERLINK("https://klasma.github.io/Logging_1415/tillsynsmail/A 45000-2024 tillsynsbegäran mail.docx", "A 45000-2024")</f>
        <v/>
      </c>
    </row>
    <row r="25" ht="15" customHeight="1">
      <c r="A25" t="inlineStr">
        <is>
          <t>A 37539-2025</t>
        </is>
      </c>
      <c r="B25" t="inlineStr">
        <is>
          <t>avverkningsanmälan</t>
        </is>
      </c>
      <c r="C25" t="inlineStr">
        <is>
          <t>Föryngringsavverkning</t>
        </is>
      </c>
      <c r="D25" s="1" t="n">
        <v>45879</v>
      </c>
      <c r="E25" s="1" t="n">
        <v>46219</v>
      </c>
      <c r="F25" t="inlineStr">
        <is>
          <t>VÄSTRA GÖTALANDS LÄN</t>
        </is>
      </c>
      <c r="G25" t="inlineStr">
        <is>
          <t>STENUNGSUND</t>
        </is>
      </c>
      <c r="I25" t="n">
        <v>1.9</v>
      </c>
      <c r="J25" t="n">
        <v>0</v>
      </c>
      <c r="K25" t="n">
        <v>1</v>
      </c>
      <c r="L25" t="n">
        <v>0</v>
      </c>
      <c r="M25" t="n">
        <v>0</v>
      </c>
      <c r="N25" t="n">
        <v>0</v>
      </c>
      <c r="O25" t="n">
        <v>0</v>
      </c>
      <c r="P25" t="n">
        <v>0</v>
      </c>
      <c r="Q25" t="n">
        <v>0</v>
      </c>
      <c r="R25" t="n">
        <v>0</v>
      </c>
      <c r="S25" t="n">
        <v>1</v>
      </c>
      <c r="T25" t="n">
        <v>1</v>
      </c>
      <c r="U25" s="2" t="inlineStr">
        <is>
          <t>Murgröna</t>
        </is>
      </c>
      <c r="V25">
        <f>HYPERLINK("https://klasma.github.io/Logging_1415/artfynd/A 37539-2025 artfynd.xlsx", "A 37539-2025")</f>
        <v/>
      </c>
      <c r="W25">
        <f>HYPERLINK("https://klasma.github.io/Logging_1415/kartor/A 37539-2025 karta.png", "A 37539-2025")</f>
        <v/>
      </c>
      <c r="Y25">
        <f>HYPERLINK("https://klasma.github.io/Logging_1415/klagomål/A 37539-2025 FSC-klagomål.docx", "A 37539-2025")</f>
        <v/>
      </c>
      <c r="Z25">
        <f>HYPERLINK("https://klasma.github.io/Logging_1415/klagomålsmail/A 37539-2025 FSC-klagomål mail.docx", "A 37539-2025")</f>
        <v/>
      </c>
      <c r="AA25">
        <f>HYPERLINK("https://klasma.github.io/Logging_1415/tillsyn/A 37539-2025 tillsynsbegäran.docx", "A 37539-2025")</f>
        <v/>
      </c>
      <c r="AB25">
        <f>HYPERLINK("https://klasma.github.io/Logging_1415/tillsynsmail/A 37539-2025 tillsynsbegäran mail.docx", "A 37539-2025")</f>
        <v/>
      </c>
    </row>
    <row r="26" ht="15" customHeight="1">
      <c r="A26" t="inlineStr">
        <is>
          <t>A 48215-2022</t>
        </is>
      </c>
      <c r="B26" t="inlineStr">
        <is>
          <t>avverkningsanmälan</t>
        </is>
      </c>
      <c r="C26" t="inlineStr">
        <is>
          <t>Föryngringsavverkning</t>
        </is>
      </c>
      <c r="D26" s="1" t="n">
        <v>44858</v>
      </c>
      <c r="E26" s="1" t="n">
        <v>46219</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46219</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46219</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46219</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46219</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46219</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46219</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48895-2023</t>
        </is>
      </c>
      <c r="B33" t="inlineStr">
        <is>
          <t>avverkningsanmälan</t>
        </is>
      </c>
      <c r="C33" t="inlineStr">
        <is>
          <t>Föryngringsavverkning</t>
        </is>
      </c>
      <c r="D33" s="1" t="n">
        <v>45209</v>
      </c>
      <c r="E33" s="1" t="n">
        <v>46219</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s="2" t="inlineStr"/>
    </row>
    <row r="34" ht="15" customHeight="1">
      <c r="A34" t="inlineStr">
        <is>
          <t>A 62007-2021</t>
        </is>
      </c>
      <c r="B34" t="inlineStr">
        <is>
          <t>avverkningsanmälan</t>
        </is>
      </c>
      <c r="C34" t="inlineStr">
        <is>
          <t>Föryngringsavverkning</t>
        </is>
      </c>
      <c r="D34" s="1" t="n">
        <v>44502</v>
      </c>
      <c r="E34" s="1" t="n">
        <v>46219</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s="2" t="inlineStr"/>
    </row>
    <row r="35" ht="15" customHeight="1">
      <c r="A35" t="inlineStr">
        <is>
          <t>A 62220-2023</t>
        </is>
      </c>
      <c r="B35" t="inlineStr">
        <is>
          <t>avverkningsanmälan</t>
        </is>
      </c>
      <c r="C35" t="inlineStr">
        <is>
          <t>Föryngringsavverkning</t>
        </is>
      </c>
      <c r="D35" s="1" t="n">
        <v>45267</v>
      </c>
      <c r="E35" s="1" t="n">
        <v>46219</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s="2" t="inlineStr"/>
    </row>
    <row r="36" ht="15" customHeight="1">
      <c r="A36" t="inlineStr">
        <is>
          <t>A 6913-2024</t>
        </is>
      </c>
      <c r="B36" t="inlineStr">
        <is>
          <t>avverkningsanmälan</t>
        </is>
      </c>
      <c r="C36" t="inlineStr">
        <is>
          <t>Föryngringsavverkning</t>
        </is>
      </c>
      <c r="D36" s="1" t="n">
        <v>45343</v>
      </c>
      <c r="E36" s="1" t="n">
        <v>46219</v>
      </c>
      <c r="F36" t="inlineStr">
        <is>
          <t>VÄSTRA GÖTALANDS LÄN</t>
        </is>
      </c>
      <c r="G36" t="inlineStr">
        <is>
          <t>STENUNGSUND</t>
        </is>
      </c>
      <c r="I36" t="n">
        <v>2</v>
      </c>
      <c r="J36" t="n">
        <v>0</v>
      </c>
      <c r="K36" t="n">
        <v>0</v>
      </c>
      <c r="L36" t="n">
        <v>0</v>
      </c>
      <c r="M36" t="n">
        <v>0</v>
      </c>
      <c r="N36" t="n">
        <v>0</v>
      </c>
      <c r="O36" t="n">
        <v>0</v>
      </c>
      <c r="P36" t="n">
        <v>0</v>
      </c>
      <c r="Q36" t="n">
        <v>0</v>
      </c>
      <c r="R36" t="n">
        <v>0</v>
      </c>
      <c r="S36" t="n">
        <v>0</v>
      </c>
      <c r="T36" t="n">
        <v>0</v>
      </c>
      <c r="U36" s="2" t="inlineStr"/>
    </row>
    <row r="37" ht="15" customHeight="1">
      <c r="A37" t="inlineStr">
        <is>
          <t>A 10472-2024</t>
        </is>
      </c>
      <c r="B37" t="inlineStr">
        <is>
          <t>avverkningsanmälan</t>
        </is>
      </c>
      <c r="C37" t="inlineStr">
        <is>
          <t>Föryngringsavverkning</t>
        </is>
      </c>
      <c r="D37" s="1" t="n">
        <v>45366</v>
      </c>
      <c r="E37" s="1" t="n">
        <v>46219</v>
      </c>
      <c r="F37" t="inlineStr">
        <is>
          <t>VÄSTRA GÖTALANDS LÄN</t>
        </is>
      </c>
      <c r="G37" t="inlineStr">
        <is>
          <t>STENUNGSUND</t>
        </is>
      </c>
      <c r="I37" t="n">
        <v>6.3</v>
      </c>
      <c r="J37" t="n">
        <v>0</v>
      </c>
      <c r="K37" t="n">
        <v>0</v>
      </c>
      <c r="L37" t="n">
        <v>0</v>
      </c>
      <c r="M37" t="n">
        <v>0</v>
      </c>
      <c r="N37" t="n">
        <v>0</v>
      </c>
      <c r="O37" t="n">
        <v>0</v>
      </c>
      <c r="P37" t="n">
        <v>0</v>
      </c>
      <c r="Q37" t="n">
        <v>0</v>
      </c>
      <c r="R37" t="n">
        <v>0</v>
      </c>
      <c r="S37" t="n">
        <v>0</v>
      </c>
      <c r="T37" t="n">
        <v>0</v>
      </c>
      <c r="U37" s="2" t="inlineStr"/>
    </row>
    <row r="38" ht="15" customHeight="1">
      <c r="A38" t="inlineStr">
        <is>
          <t>A 27030-2023</t>
        </is>
      </c>
      <c r="B38" t="inlineStr">
        <is>
          <t>avverkningsanmälan</t>
        </is>
      </c>
      <c r="C38" t="inlineStr">
        <is>
          <t>Föryngringsavverkning</t>
        </is>
      </c>
      <c r="D38" s="1" t="n">
        <v>45095</v>
      </c>
      <c r="E38" s="1" t="n">
        <v>46219</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s="2" t="inlineStr"/>
    </row>
    <row r="39" ht="15" customHeight="1">
      <c r="A39" t="inlineStr">
        <is>
          <t>A 60158-2024</t>
        </is>
      </c>
      <c r="B39" t="inlineStr">
        <is>
          <t>avverkningsanmälan</t>
        </is>
      </c>
      <c r="C39" t="inlineStr">
        <is>
          <t>Föryngringsavverkning</t>
        </is>
      </c>
      <c r="D39" s="1" t="n">
        <v>45642</v>
      </c>
      <c r="E39" s="1" t="n">
        <v>46219</v>
      </c>
      <c r="F39" t="inlineStr">
        <is>
          <t>VÄSTRA GÖTALANDS LÄN</t>
        </is>
      </c>
      <c r="G39" t="inlineStr">
        <is>
          <t>STENUNGSUND</t>
        </is>
      </c>
      <c r="I39" t="n">
        <v>4.4</v>
      </c>
      <c r="J39" t="n">
        <v>0</v>
      </c>
      <c r="K39" t="n">
        <v>0</v>
      </c>
      <c r="L39" t="n">
        <v>0</v>
      </c>
      <c r="M39" t="n">
        <v>0</v>
      </c>
      <c r="N39" t="n">
        <v>0</v>
      </c>
      <c r="O39" t="n">
        <v>0</v>
      </c>
      <c r="P39" t="n">
        <v>0</v>
      </c>
      <c r="Q39" t="n">
        <v>0</v>
      </c>
      <c r="R39" t="n">
        <v>0</v>
      </c>
      <c r="S39" t="n">
        <v>0</v>
      </c>
      <c r="T39" t="n">
        <v>0</v>
      </c>
      <c r="U39" s="2" t="inlineStr"/>
    </row>
    <row r="40" ht="15" customHeight="1">
      <c r="A40" t="inlineStr">
        <is>
          <t>A 30175-2022</t>
        </is>
      </c>
      <c r="B40" t="inlineStr">
        <is>
          <t>avverkningsanmälan</t>
        </is>
      </c>
      <c r="C40" t="inlineStr">
        <is>
          <t>Föryngringsavverkning</t>
        </is>
      </c>
      <c r="D40" s="1" t="n">
        <v>44757</v>
      </c>
      <c r="E40" s="1" t="n">
        <v>46219</v>
      </c>
      <c r="F40" t="inlineStr">
        <is>
          <t>VÄSTRA GÖTALANDS LÄN</t>
        </is>
      </c>
      <c r="G40" t="inlineStr">
        <is>
          <t>STENUNGSUND</t>
        </is>
      </c>
      <c r="I40" t="n">
        <v>2.2</v>
      </c>
      <c r="J40" t="n">
        <v>0</v>
      </c>
      <c r="K40" t="n">
        <v>0</v>
      </c>
      <c r="L40" t="n">
        <v>0</v>
      </c>
      <c r="M40" t="n">
        <v>0</v>
      </c>
      <c r="N40" t="n">
        <v>0</v>
      </c>
      <c r="O40" t="n">
        <v>0</v>
      </c>
      <c r="P40" t="n">
        <v>0</v>
      </c>
      <c r="Q40" t="n">
        <v>0</v>
      </c>
      <c r="R40" t="n">
        <v>0</v>
      </c>
      <c r="S40" t="n">
        <v>0</v>
      </c>
      <c r="T40" t="n">
        <v>0</v>
      </c>
      <c r="U40" s="2" t="inlineStr"/>
    </row>
    <row r="41" ht="15" customHeight="1">
      <c r="A41" t="inlineStr">
        <is>
          <t>A 37866-2021</t>
        </is>
      </c>
      <c r="B41" t="inlineStr">
        <is>
          <t>avverkningsanmälan</t>
        </is>
      </c>
      <c r="C41" t="inlineStr">
        <is>
          <t>Föryngringsavverkning</t>
        </is>
      </c>
      <c r="D41" s="1" t="n">
        <v>44403</v>
      </c>
      <c r="E41" s="1" t="n">
        <v>46219</v>
      </c>
      <c r="F41" t="inlineStr">
        <is>
          <t>VÄSTRA GÖTALANDS LÄN</t>
        </is>
      </c>
      <c r="G41" t="inlineStr">
        <is>
          <t>STENUNGSUND</t>
        </is>
      </c>
      <c r="I41" t="n">
        <v>1.5</v>
      </c>
      <c r="J41" t="n">
        <v>0</v>
      </c>
      <c r="K41" t="n">
        <v>0</v>
      </c>
      <c r="L41" t="n">
        <v>0</v>
      </c>
      <c r="M41" t="n">
        <v>0</v>
      </c>
      <c r="N41" t="n">
        <v>0</v>
      </c>
      <c r="O41" t="n">
        <v>0</v>
      </c>
      <c r="P41" t="n">
        <v>0</v>
      </c>
      <c r="Q41" t="n">
        <v>0</v>
      </c>
      <c r="R41" t="n">
        <v>0</v>
      </c>
      <c r="S41" t="n">
        <v>0</v>
      </c>
      <c r="T41" t="n">
        <v>0</v>
      </c>
      <c r="U41" s="2" t="inlineStr"/>
    </row>
    <row r="42" ht="15" customHeight="1">
      <c r="A42" t="inlineStr">
        <is>
          <t>A 19059-2023</t>
        </is>
      </c>
      <c r="B42" t="inlineStr">
        <is>
          <t>avverkningsanmälan</t>
        </is>
      </c>
      <c r="C42" t="inlineStr">
        <is>
          <t>Föryngringsavverkning</t>
        </is>
      </c>
      <c r="D42" s="1" t="n">
        <v>45048</v>
      </c>
      <c r="E42" s="1" t="n">
        <v>46219</v>
      </c>
      <c r="F42" t="inlineStr">
        <is>
          <t>VÄSTRA GÖTALANDS LÄN</t>
        </is>
      </c>
      <c r="G42" t="inlineStr">
        <is>
          <t>STENUNGSUND</t>
        </is>
      </c>
      <c r="I42" t="n">
        <v>0.7</v>
      </c>
      <c r="J42" t="n">
        <v>0</v>
      </c>
      <c r="K42" t="n">
        <v>0</v>
      </c>
      <c r="L42" t="n">
        <v>0</v>
      </c>
      <c r="M42" t="n">
        <v>0</v>
      </c>
      <c r="N42" t="n">
        <v>0</v>
      </c>
      <c r="O42" t="n">
        <v>0</v>
      </c>
      <c r="P42" t="n">
        <v>0</v>
      </c>
      <c r="Q42" t="n">
        <v>0</v>
      </c>
      <c r="R42" t="n">
        <v>0</v>
      </c>
      <c r="S42" t="n">
        <v>0</v>
      </c>
      <c r="T42" t="n">
        <v>0</v>
      </c>
      <c r="U42" s="2" t="inlineStr"/>
    </row>
    <row r="43" ht="15" customHeight="1">
      <c r="A43" t="inlineStr">
        <is>
          <t>A 33011-2022</t>
        </is>
      </c>
      <c r="B43" t="inlineStr">
        <is>
          <t>avverkningsanmälan</t>
        </is>
      </c>
      <c r="C43" t="inlineStr">
        <is>
          <t>Föryngringsavverkning</t>
        </is>
      </c>
      <c r="D43" s="1" t="n">
        <v>44785</v>
      </c>
      <c r="E43" s="1" t="n">
        <v>46219</v>
      </c>
      <c r="F43" t="inlineStr">
        <is>
          <t>VÄSTRA GÖTALANDS LÄN</t>
        </is>
      </c>
      <c r="G43" t="inlineStr">
        <is>
          <t>STENUNGSUND</t>
        </is>
      </c>
      <c r="I43" t="n">
        <v>2.6</v>
      </c>
      <c r="J43" t="n">
        <v>0</v>
      </c>
      <c r="K43" t="n">
        <v>0</v>
      </c>
      <c r="L43" t="n">
        <v>0</v>
      </c>
      <c r="M43" t="n">
        <v>0</v>
      </c>
      <c r="N43" t="n">
        <v>0</v>
      </c>
      <c r="O43" t="n">
        <v>0</v>
      </c>
      <c r="P43" t="n">
        <v>0</v>
      </c>
      <c r="Q43" t="n">
        <v>0</v>
      </c>
      <c r="R43" t="n">
        <v>0</v>
      </c>
      <c r="S43" t="n">
        <v>0</v>
      </c>
      <c r="T43" t="n">
        <v>0</v>
      </c>
      <c r="U43" s="2" t="inlineStr"/>
    </row>
    <row r="44" ht="15" customHeight="1">
      <c r="A44" t="inlineStr">
        <is>
          <t>A 38996-2025</t>
        </is>
      </c>
      <c r="B44" t="inlineStr">
        <is>
          <t>avverkningsanmälan</t>
        </is>
      </c>
      <c r="C44" t="inlineStr">
        <is>
          <t>Föryngringsavverkning</t>
        </is>
      </c>
      <c r="D44" s="1" t="n">
        <v>45888</v>
      </c>
      <c r="E44" s="1" t="n">
        <v>46219</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s="2" t="inlineStr"/>
    </row>
    <row r="45" ht="15" customHeight="1">
      <c r="A45" t="inlineStr">
        <is>
          <t>A 20974-2025</t>
        </is>
      </c>
      <c r="B45" t="inlineStr">
        <is>
          <t>avverkningsanmälan</t>
        </is>
      </c>
      <c r="C45" t="inlineStr">
        <is>
          <t>Föryngringsavverkning</t>
        </is>
      </c>
      <c r="D45" s="1" t="n">
        <v>45777</v>
      </c>
      <c r="E45" s="1" t="n">
        <v>46219</v>
      </c>
      <c r="F45" t="inlineStr">
        <is>
          <t>VÄSTRA GÖTALANDS LÄN</t>
        </is>
      </c>
      <c r="G45" t="inlineStr">
        <is>
          <t>STENUNGSUND</t>
        </is>
      </c>
      <c r="I45" t="n">
        <v>10.3</v>
      </c>
      <c r="J45" t="n">
        <v>0</v>
      </c>
      <c r="K45" t="n">
        <v>0</v>
      </c>
      <c r="L45" t="n">
        <v>0</v>
      </c>
      <c r="M45" t="n">
        <v>0</v>
      </c>
      <c r="N45" t="n">
        <v>0</v>
      </c>
      <c r="O45" t="n">
        <v>0</v>
      </c>
      <c r="P45" t="n">
        <v>0</v>
      </c>
      <c r="Q45" t="n">
        <v>0</v>
      </c>
      <c r="R45" t="n">
        <v>0</v>
      </c>
      <c r="S45" t="n">
        <v>0</v>
      </c>
      <c r="T45" t="n">
        <v>0</v>
      </c>
      <c r="U45" s="2" t="inlineStr"/>
    </row>
    <row r="46" ht="15" customHeight="1">
      <c r="A46" t="inlineStr">
        <is>
          <t>A 38994-2025</t>
        </is>
      </c>
      <c r="B46" t="inlineStr">
        <is>
          <t>avverkningsanmälan</t>
        </is>
      </c>
      <c r="C46" t="inlineStr">
        <is>
          <t>Föryngringsavverkning</t>
        </is>
      </c>
      <c r="D46" s="1" t="n">
        <v>45888</v>
      </c>
      <c r="E46" s="1" t="n">
        <v>46219</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s="2" t="inlineStr"/>
    </row>
    <row r="47" ht="15" customHeight="1">
      <c r="A47" t="inlineStr">
        <is>
          <t>A 4734-2023</t>
        </is>
      </c>
      <c r="B47" t="inlineStr">
        <is>
          <t>avverkningsanmälan</t>
        </is>
      </c>
      <c r="C47" t="inlineStr">
        <is>
          <t>Föryngringsavverkning</t>
        </is>
      </c>
      <c r="D47" s="1" t="n">
        <v>44957</v>
      </c>
      <c r="E47" s="1" t="n">
        <v>46219</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s="2" t="inlineStr"/>
    </row>
    <row r="48" ht="15" customHeight="1">
      <c r="A48" t="inlineStr">
        <is>
          <t>A 23762-2024</t>
        </is>
      </c>
      <c r="B48" t="inlineStr">
        <is>
          <t>avverkningsanmälan</t>
        </is>
      </c>
      <c r="C48" t="inlineStr">
        <is>
          <t>Föryngringsavverkning</t>
        </is>
      </c>
      <c r="D48" s="1" t="n">
        <v>45455</v>
      </c>
      <c r="E48" s="1" t="n">
        <v>46219</v>
      </c>
      <c r="F48" t="inlineStr">
        <is>
          <t>VÄSTRA GÖTALANDS LÄN</t>
        </is>
      </c>
      <c r="G48" t="inlineStr">
        <is>
          <t>STENUNGSUND</t>
        </is>
      </c>
      <c r="I48" t="n">
        <v>2</v>
      </c>
      <c r="J48" t="n">
        <v>0</v>
      </c>
      <c r="K48" t="n">
        <v>0</v>
      </c>
      <c r="L48" t="n">
        <v>0</v>
      </c>
      <c r="M48" t="n">
        <v>0</v>
      </c>
      <c r="N48" t="n">
        <v>0</v>
      </c>
      <c r="O48" t="n">
        <v>0</v>
      </c>
      <c r="P48" t="n">
        <v>0</v>
      </c>
      <c r="Q48" t="n">
        <v>0</v>
      </c>
      <c r="R48" t="n">
        <v>0</v>
      </c>
      <c r="S48" t="n">
        <v>0</v>
      </c>
      <c r="T48" t="n">
        <v>0</v>
      </c>
      <c r="U48" s="2" t="inlineStr"/>
    </row>
    <row r="49" ht="15" customHeight="1">
      <c r="A49" t="inlineStr">
        <is>
          <t>A 42791-2025</t>
        </is>
      </c>
      <c r="B49" t="inlineStr">
        <is>
          <t>avverkningsanmälan</t>
        </is>
      </c>
      <c r="C49" t="inlineStr">
        <is>
          <t>Föryngringsavverkning</t>
        </is>
      </c>
      <c r="D49" s="1" t="n">
        <v>45908</v>
      </c>
      <c r="E49" s="1" t="n">
        <v>46219</v>
      </c>
      <c r="F49" t="inlineStr">
        <is>
          <t>VÄSTRA GÖTALANDS LÄN</t>
        </is>
      </c>
      <c r="G49" t="inlineStr">
        <is>
          <t>STENUNGSUND</t>
        </is>
      </c>
      <c r="I49" t="n">
        <v>1.9</v>
      </c>
      <c r="J49" t="n">
        <v>0</v>
      </c>
      <c r="K49" t="n">
        <v>0</v>
      </c>
      <c r="L49" t="n">
        <v>0</v>
      </c>
      <c r="M49" t="n">
        <v>0</v>
      </c>
      <c r="N49" t="n">
        <v>0</v>
      </c>
      <c r="O49" t="n">
        <v>0</v>
      </c>
      <c r="P49" t="n">
        <v>0</v>
      </c>
      <c r="Q49" t="n">
        <v>0</v>
      </c>
      <c r="R49" t="n">
        <v>0</v>
      </c>
      <c r="S49" t="n">
        <v>0</v>
      </c>
      <c r="T49" t="n">
        <v>0</v>
      </c>
      <c r="U49" s="2" t="inlineStr"/>
    </row>
    <row r="50" ht="15" customHeight="1">
      <c r="A50" t="inlineStr">
        <is>
          <t>A 33010-2022</t>
        </is>
      </c>
      <c r="B50" t="inlineStr">
        <is>
          <t>avverkningsanmälan</t>
        </is>
      </c>
      <c r="C50" t="inlineStr">
        <is>
          <t>Föryngringsavverkning</t>
        </is>
      </c>
      <c r="D50" s="1" t="n">
        <v>44785</v>
      </c>
      <c r="E50" s="1" t="n">
        <v>46219</v>
      </c>
      <c r="F50" t="inlineStr">
        <is>
          <t>VÄSTRA GÖTALANDS LÄN</t>
        </is>
      </c>
      <c r="G50" t="inlineStr">
        <is>
          <t>STENUNGSUND</t>
        </is>
      </c>
      <c r="I50" t="n">
        <v>3.4</v>
      </c>
      <c r="J50" t="n">
        <v>0</v>
      </c>
      <c r="K50" t="n">
        <v>0</v>
      </c>
      <c r="L50" t="n">
        <v>0</v>
      </c>
      <c r="M50" t="n">
        <v>0</v>
      </c>
      <c r="N50" t="n">
        <v>0</v>
      </c>
      <c r="O50" t="n">
        <v>0</v>
      </c>
      <c r="P50" t="n">
        <v>0</v>
      </c>
      <c r="Q50" t="n">
        <v>0</v>
      </c>
      <c r="R50" t="n">
        <v>0</v>
      </c>
      <c r="S50" t="n">
        <v>0</v>
      </c>
      <c r="T50" t="n">
        <v>0</v>
      </c>
      <c r="U50" s="2" t="inlineStr"/>
    </row>
    <row r="51" ht="15" customHeight="1">
      <c r="A51" t="inlineStr">
        <is>
          <t>A 52952-2021</t>
        </is>
      </c>
      <c r="B51" t="inlineStr">
        <is>
          <t>avverkningsanmälan</t>
        </is>
      </c>
      <c r="C51" t="inlineStr">
        <is>
          <t>Föryngringsavverkning</t>
        </is>
      </c>
      <c r="D51" s="1" t="n">
        <v>44467</v>
      </c>
      <c r="E51" s="1" t="n">
        <v>46219</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s="2" t="inlineStr"/>
    </row>
    <row r="52" ht="15" customHeight="1">
      <c r="A52" t="inlineStr">
        <is>
          <t>A 8948-2022</t>
        </is>
      </c>
      <c r="B52" t="inlineStr">
        <is>
          <t>avverkningsanmälan</t>
        </is>
      </c>
      <c r="C52" t="inlineStr">
        <is>
          <t>Avverkning för annat ändamål</t>
        </is>
      </c>
      <c r="D52" s="1" t="n">
        <v>44614</v>
      </c>
      <c r="E52" s="1" t="n">
        <v>46219</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s="2" t="inlineStr"/>
    </row>
    <row r="53" ht="15" customHeight="1">
      <c r="A53" t="inlineStr">
        <is>
          <t>A 19302-2025</t>
        </is>
      </c>
      <c r="B53" t="inlineStr">
        <is>
          <t>avverkningsanmälan</t>
        </is>
      </c>
      <c r="C53" t="inlineStr">
        <is>
          <t>Föryngringsavverkning</t>
        </is>
      </c>
      <c r="D53" s="1" t="n">
        <v>45769</v>
      </c>
      <c r="E53" s="1" t="n">
        <v>46219</v>
      </c>
      <c r="F53" t="inlineStr">
        <is>
          <t>VÄSTRA GÖTALANDS LÄN</t>
        </is>
      </c>
      <c r="G53" t="inlineStr">
        <is>
          <t>STENUNGSUND</t>
        </is>
      </c>
      <c r="I53" t="n">
        <v>1.2</v>
      </c>
      <c r="J53" t="n">
        <v>0</v>
      </c>
      <c r="K53" t="n">
        <v>0</v>
      </c>
      <c r="L53" t="n">
        <v>0</v>
      </c>
      <c r="M53" t="n">
        <v>0</v>
      </c>
      <c r="N53" t="n">
        <v>0</v>
      </c>
      <c r="O53" t="n">
        <v>0</v>
      </c>
      <c r="P53" t="n">
        <v>0</v>
      </c>
      <c r="Q53" t="n">
        <v>0</v>
      </c>
      <c r="R53" t="n">
        <v>0</v>
      </c>
      <c r="S53" t="n">
        <v>0</v>
      </c>
      <c r="T53" t="n">
        <v>0</v>
      </c>
      <c r="U53" s="2" t="inlineStr"/>
    </row>
    <row r="54" ht="15" customHeight="1">
      <c r="A54" t="inlineStr">
        <is>
          <t>A 22728-2025</t>
        </is>
      </c>
      <c r="B54" t="inlineStr">
        <is>
          <t>avverkningsanmälan</t>
        </is>
      </c>
      <c r="C54" t="inlineStr">
        <is>
          <t>Föryngringsavverkning</t>
        </is>
      </c>
      <c r="D54" s="1" t="n">
        <v>45789</v>
      </c>
      <c r="E54" s="1" t="n">
        <v>46219</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s="2" t="inlineStr"/>
    </row>
    <row r="55" ht="15" customHeight="1">
      <c r="A55" t="inlineStr">
        <is>
          <t>A 57766-2024</t>
        </is>
      </c>
      <c r="B55" t="inlineStr">
        <is>
          <t>avverkningsanmälan</t>
        </is>
      </c>
      <c r="C55" t="inlineStr">
        <is>
          <t>Föryngringsavverkning</t>
        </is>
      </c>
      <c r="D55" s="1" t="n">
        <v>45630</v>
      </c>
      <c r="E55" s="1" t="n">
        <v>46219</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s="2" t="inlineStr"/>
    </row>
    <row r="56" ht="15" customHeight="1">
      <c r="A56" t="inlineStr">
        <is>
          <t>A 57767-2024</t>
        </is>
      </c>
      <c r="B56" t="inlineStr">
        <is>
          <t>avverkningsanmälan</t>
        </is>
      </c>
      <c r="C56" t="inlineStr">
        <is>
          <t>Föryngringsavverkning</t>
        </is>
      </c>
      <c r="D56" s="1" t="n">
        <v>45630</v>
      </c>
      <c r="E56" s="1" t="n">
        <v>46219</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s="2" t="inlineStr"/>
    </row>
    <row r="57" ht="15" customHeight="1">
      <c r="A57" t="inlineStr">
        <is>
          <t>A 57769-2024</t>
        </is>
      </c>
      <c r="B57" t="inlineStr">
        <is>
          <t>avverkningsanmälan</t>
        </is>
      </c>
      <c r="C57" t="inlineStr">
        <is>
          <t>Föryngringsavverkning</t>
        </is>
      </c>
      <c r="D57" s="1" t="n">
        <v>45630</v>
      </c>
      <c r="E57" s="1" t="n">
        <v>46219</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s="2" t="inlineStr"/>
    </row>
    <row r="58" ht="15" customHeight="1">
      <c r="A58" t="inlineStr">
        <is>
          <t>A 57768-2024</t>
        </is>
      </c>
      <c r="B58" t="inlineStr">
        <is>
          <t>avverkningsanmälan</t>
        </is>
      </c>
      <c r="C58" t="inlineStr">
        <is>
          <t>Föryngringsavverkning</t>
        </is>
      </c>
      <c r="D58" s="1" t="n">
        <v>45630</v>
      </c>
      <c r="E58" s="1" t="n">
        <v>46219</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s="2" t="inlineStr"/>
    </row>
    <row r="59" ht="15" customHeight="1">
      <c r="A59" t="inlineStr">
        <is>
          <t>A 60550-2023</t>
        </is>
      </c>
      <c r="B59" t="inlineStr">
        <is>
          <t>avverkningsanmälan</t>
        </is>
      </c>
      <c r="C59" t="inlineStr">
        <is>
          <t>Föryngringsavverkning</t>
        </is>
      </c>
      <c r="D59" s="1" t="n">
        <v>45259</v>
      </c>
      <c r="E59" s="1" t="n">
        <v>46219</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s="2" t="inlineStr"/>
    </row>
    <row r="60" ht="15" customHeight="1">
      <c r="A60" t="inlineStr">
        <is>
          <t>A 49621-2025</t>
        </is>
      </c>
      <c r="B60" t="inlineStr">
        <is>
          <t>avverkningsanmälan</t>
        </is>
      </c>
      <c r="C60" t="inlineStr">
        <is>
          <t>Föryngringsavverkning</t>
        </is>
      </c>
      <c r="D60" s="1" t="n">
        <v>45939</v>
      </c>
      <c r="E60" s="1" t="n">
        <v>46219</v>
      </c>
      <c r="F60" t="inlineStr">
        <is>
          <t>VÄSTRA GÖTALANDS LÄN</t>
        </is>
      </c>
      <c r="G60" t="inlineStr">
        <is>
          <t>STENUNGSUND</t>
        </is>
      </c>
      <c r="I60" t="n">
        <v>3.3</v>
      </c>
      <c r="J60" t="n">
        <v>0</v>
      </c>
      <c r="K60" t="n">
        <v>0</v>
      </c>
      <c r="L60" t="n">
        <v>0</v>
      </c>
      <c r="M60" t="n">
        <v>0</v>
      </c>
      <c r="N60" t="n">
        <v>0</v>
      </c>
      <c r="O60" t="n">
        <v>0</v>
      </c>
      <c r="P60" t="n">
        <v>0</v>
      </c>
      <c r="Q60" t="n">
        <v>0</v>
      </c>
      <c r="R60" t="n">
        <v>0</v>
      </c>
      <c r="S60" t="n">
        <v>0</v>
      </c>
      <c r="T60" t="n">
        <v>0</v>
      </c>
      <c r="U60" s="2" t="inlineStr"/>
    </row>
    <row r="61" ht="15" customHeight="1">
      <c r="A61" t="inlineStr">
        <is>
          <t>A 50205-2025</t>
        </is>
      </c>
      <c r="B61" t="inlineStr">
        <is>
          <t>avverkningsanmälan</t>
        </is>
      </c>
      <c r="C61" t="inlineStr">
        <is>
          <t>Föryngringsavverkning</t>
        </is>
      </c>
      <c r="D61" s="1" t="n">
        <v>45943</v>
      </c>
      <c r="E61" s="1" t="n">
        <v>46219</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s="2" t="inlineStr"/>
    </row>
    <row r="62" ht="15" customHeight="1">
      <c r="A62" t="inlineStr">
        <is>
          <t>A 3570-2023</t>
        </is>
      </c>
      <c r="B62" t="inlineStr">
        <is>
          <t>avverkningsanmälan</t>
        </is>
      </c>
      <c r="C62" t="inlineStr">
        <is>
          <t>Föryngringsavverkning</t>
        </is>
      </c>
      <c r="D62" s="1" t="n">
        <v>44950</v>
      </c>
      <c r="E62" s="1" t="n">
        <v>46219</v>
      </c>
      <c r="F62" t="inlineStr">
        <is>
          <t>VÄSTRA GÖTALANDS LÄN</t>
        </is>
      </c>
      <c r="G62" t="inlineStr">
        <is>
          <t>STENUNGSUND</t>
        </is>
      </c>
      <c r="I62" t="n">
        <v>4.1</v>
      </c>
      <c r="J62" t="n">
        <v>0</v>
      </c>
      <c r="K62" t="n">
        <v>0</v>
      </c>
      <c r="L62" t="n">
        <v>0</v>
      </c>
      <c r="M62" t="n">
        <v>0</v>
      </c>
      <c r="N62" t="n">
        <v>0</v>
      </c>
      <c r="O62" t="n">
        <v>0</v>
      </c>
      <c r="P62" t="n">
        <v>0</v>
      </c>
      <c r="Q62" t="n">
        <v>0</v>
      </c>
      <c r="R62" t="n">
        <v>0</v>
      </c>
      <c r="S62" t="n">
        <v>0</v>
      </c>
      <c r="T62" t="n">
        <v>0</v>
      </c>
      <c r="U62" s="2" t="inlineStr"/>
    </row>
    <row r="63" ht="15" customHeight="1">
      <c r="A63" t="inlineStr">
        <is>
          <t>A 50491-2025</t>
        </is>
      </c>
      <c r="B63" t="inlineStr">
        <is>
          <t>avverkningsanmälan</t>
        </is>
      </c>
      <c r="C63" t="inlineStr">
        <is>
          <t>Föryngringsavverkning</t>
        </is>
      </c>
      <c r="D63" s="1" t="n">
        <v>45945</v>
      </c>
      <c r="E63" s="1" t="n">
        <v>46219</v>
      </c>
      <c r="F63" t="inlineStr">
        <is>
          <t>VÄSTRA GÖTALANDS LÄN</t>
        </is>
      </c>
      <c r="G63" t="inlineStr">
        <is>
          <t>STENUNGSUND</t>
        </is>
      </c>
      <c r="I63" t="n">
        <v>0.9</v>
      </c>
      <c r="J63" t="n">
        <v>0</v>
      </c>
      <c r="K63" t="n">
        <v>0</v>
      </c>
      <c r="L63" t="n">
        <v>0</v>
      </c>
      <c r="M63" t="n">
        <v>0</v>
      </c>
      <c r="N63" t="n">
        <v>0</v>
      </c>
      <c r="O63" t="n">
        <v>0</v>
      </c>
      <c r="P63" t="n">
        <v>0</v>
      </c>
      <c r="Q63" t="n">
        <v>0</v>
      </c>
      <c r="R63" t="n">
        <v>0</v>
      </c>
      <c r="S63" t="n">
        <v>0</v>
      </c>
      <c r="T63" t="n">
        <v>0</v>
      </c>
      <c r="U63" s="2" t="inlineStr"/>
    </row>
    <row r="64" ht="15" customHeight="1">
      <c r="A64" t="inlineStr">
        <is>
          <t>A 50543-2025</t>
        </is>
      </c>
      <c r="B64" t="inlineStr">
        <is>
          <t>avverkningsanmälan</t>
        </is>
      </c>
      <c r="C64" t="inlineStr">
        <is>
          <t>Föryngringsavverkning</t>
        </is>
      </c>
      <c r="D64" s="1" t="n">
        <v>45945</v>
      </c>
      <c r="E64" s="1" t="n">
        <v>46219</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s="2" t="inlineStr"/>
    </row>
    <row r="65" ht="15" customHeight="1">
      <c r="A65" t="inlineStr">
        <is>
          <t>A 50538-2025</t>
        </is>
      </c>
      <c r="B65" t="inlineStr">
        <is>
          <t>avverkningsanmälan</t>
        </is>
      </c>
      <c r="C65" t="inlineStr">
        <is>
          <t>Föryngringsavverkning</t>
        </is>
      </c>
      <c r="D65" s="1" t="n">
        <v>45945</v>
      </c>
      <c r="E65" s="1" t="n">
        <v>46219</v>
      </c>
      <c r="F65" t="inlineStr">
        <is>
          <t>VÄSTRA GÖTALANDS LÄN</t>
        </is>
      </c>
      <c r="G65" t="inlineStr">
        <is>
          <t>STENUNGSUND</t>
        </is>
      </c>
      <c r="I65" t="n">
        <v>3.8</v>
      </c>
      <c r="J65" t="n">
        <v>0</v>
      </c>
      <c r="K65" t="n">
        <v>0</v>
      </c>
      <c r="L65" t="n">
        <v>0</v>
      </c>
      <c r="M65" t="n">
        <v>0</v>
      </c>
      <c r="N65" t="n">
        <v>0</v>
      </c>
      <c r="O65" t="n">
        <v>0</v>
      </c>
      <c r="P65" t="n">
        <v>0</v>
      </c>
      <c r="Q65" t="n">
        <v>0</v>
      </c>
      <c r="R65" t="n">
        <v>0</v>
      </c>
      <c r="S65" t="n">
        <v>0</v>
      </c>
      <c r="T65" t="n">
        <v>0</v>
      </c>
      <c r="U65" s="2" t="inlineStr"/>
    </row>
    <row r="66" ht="15" customHeight="1">
      <c r="A66" t="inlineStr">
        <is>
          <t>A 51450-2025</t>
        </is>
      </c>
      <c r="B66" t="inlineStr">
        <is>
          <t>avverkningsanmälan</t>
        </is>
      </c>
      <c r="C66" t="inlineStr">
        <is>
          <t>Föryngringsavverkning</t>
        </is>
      </c>
      <c r="D66" s="1" t="n">
        <v>45950</v>
      </c>
      <c r="E66" s="1" t="n">
        <v>46219</v>
      </c>
      <c r="F66" t="inlineStr">
        <is>
          <t>VÄSTRA GÖTALANDS LÄN</t>
        </is>
      </c>
      <c r="G66" t="inlineStr">
        <is>
          <t>STENUNGSUND</t>
        </is>
      </c>
      <c r="I66" t="n">
        <v>0.9</v>
      </c>
      <c r="J66" t="n">
        <v>0</v>
      </c>
      <c r="K66" t="n">
        <v>0</v>
      </c>
      <c r="L66" t="n">
        <v>0</v>
      </c>
      <c r="M66" t="n">
        <v>0</v>
      </c>
      <c r="N66" t="n">
        <v>0</v>
      </c>
      <c r="O66" t="n">
        <v>0</v>
      </c>
      <c r="P66" t="n">
        <v>0</v>
      </c>
      <c r="Q66" t="n">
        <v>0</v>
      </c>
      <c r="R66" t="n">
        <v>0</v>
      </c>
      <c r="S66" t="n">
        <v>0</v>
      </c>
      <c r="T66" t="n">
        <v>0</v>
      </c>
      <c r="U66" s="2" t="inlineStr"/>
    </row>
    <row r="67" ht="15" customHeight="1">
      <c r="A67" t="inlineStr">
        <is>
          <t>A 23115-2026</t>
        </is>
      </c>
      <c r="B67" t="inlineStr">
        <is>
          <t>avverkningsanmälan</t>
        </is>
      </c>
      <c r="C67" t="inlineStr">
        <is>
          <t>Föryngringsavverkning</t>
        </is>
      </c>
      <c r="D67" s="1" t="n">
        <v>46161</v>
      </c>
      <c r="E67" s="1" t="n">
        <v>46219</v>
      </c>
      <c r="F67" t="inlineStr">
        <is>
          <t>VÄSTRA GÖTALANDS LÄN</t>
        </is>
      </c>
      <c r="G67" t="inlineStr">
        <is>
          <t>STENUNGSUND</t>
        </is>
      </c>
      <c r="I67" t="n">
        <v>5.9</v>
      </c>
      <c r="J67" t="n">
        <v>0</v>
      </c>
      <c r="K67" t="n">
        <v>0</v>
      </c>
      <c r="L67" t="n">
        <v>0</v>
      </c>
      <c r="M67" t="n">
        <v>0</v>
      </c>
      <c r="N67" t="n">
        <v>0</v>
      </c>
      <c r="O67" t="n">
        <v>0</v>
      </c>
      <c r="P67" t="n">
        <v>0</v>
      </c>
      <c r="Q67" t="n">
        <v>0</v>
      </c>
      <c r="R67" t="n">
        <v>0</v>
      </c>
      <c r="S67" t="n">
        <v>0</v>
      </c>
      <c r="T67" t="n">
        <v>0</v>
      </c>
      <c r="U67" s="2" t="inlineStr"/>
    </row>
    <row r="68" ht="15" customHeight="1">
      <c r="A68" t="inlineStr">
        <is>
          <t>A 52012-2025</t>
        </is>
      </c>
      <c r="B68" t="inlineStr">
        <is>
          <t>avverkningsanmälan</t>
        </is>
      </c>
      <c r="C68" t="inlineStr">
        <is>
          <t>Föryngringsavverkning</t>
        </is>
      </c>
      <c r="D68" s="1" t="n">
        <v>45952</v>
      </c>
      <c r="E68" s="1" t="n">
        <v>46219</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s="2" t="inlineStr"/>
    </row>
    <row r="69" ht="15" customHeight="1">
      <c r="A69" t="inlineStr">
        <is>
          <t>A 30170-2026</t>
        </is>
      </c>
      <c r="B69" t="inlineStr">
        <is>
          <t>avverkningsanmälan</t>
        </is>
      </c>
      <c r="C69" t="inlineStr">
        <is>
          <t>Föryngringsavverkning</t>
        </is>
      </c>
      <c r="D69" s="1" t="n">
        <v>46206</v>
      </c>
      <c r="E69" s="1" t="n">
        <v>46219</v>
      </c>
      <c r="F69" t="inlineStr">
        <is>
          <t>VÄSTRA GÖTALANDS LÄN</t>
        </is>
      </c>
      <c r="G69" t="inlineStr">
        <is>
          <t>STENUNGSUND</t>
        </is>
      </c>
      <c r="I69" t="n">
        <v>3.6</v>
      </c>
      <c r="J69" t="n">
        <v>0</v>
      </c>
      <c r="K69" t="n">
        <v>0</v>
      </c>
      <c r="L69" t="n">
        <v>0</v>
      </c>
      <c r="M69" t="n">
        <v>0</v>
      </c>
      <c r="N69" t="n">
        <v>0</v>
      </c>
      <c r="O69" t="n">
        <v>0</v>
      </c>
      <c r="P69" t="n">
        <v>0</v>
      </c>
      <c r="Q69" t="n">
        <v>0</v>
      </c>
      <c r="R69" t="n">
        <v>0</v>
      </c>
      <c r="S69" t="n">
        <v>0</v>
      </c>
      <c r="T69" t="n">
        <v>0</v>
      </c>
      <c r="U69" s="2" t="inlineStr"/>
    </row>
    <row r="70" ht="15" customHeight="1">
      <c r="A70" t="inlineStr">
        <is>
          <t>A 54247-2025</t>
        </is>
      </c>
      <c r="B70" t="inlineStr">
        <is>
          <t>avverkningsanmälan</t>
        </is>
      </c>
      <c r="C70" t="inlineStr">
        <is>
          <t>Föryngringsavverkning</t>
        </is>
      </c>
      <c r="D70" s="1" t="n">
        <v>45964</v>
      </c>
      <c r="E70" s="1" t="n">
        <v>46219</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s="2" t="inlineStr"/>
    </row>
    <row r="71" ht="15" customHeight="1">
      <c r="A71" t="inlineStr">
        <is>
          <t>A 64992-2023</t>
        </is>
      </c>
      <c r="B71" t="inlineStr">
        <is>
          <t>avverkningsanmälan</t>
        </is>
      </c>
      <c r="C71" t="inlineStr">
        <is>
          <t>Föryngringsavverkning</t>
        </is>
      </c>
      <c r="D71" s="1" t="n">
        <v>45286</v>
      </c>
      <c r="E71" s="1" t="n">
        <v>46219</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s="2" t="inlineStr"/>
    </row>
    <row r="72" ht="15" customHeight="1">
      <c r="A72" t="inlineStr">
        <is>
          <t>A 34555-2024</t>
        </is>
      </c>
      <c r="B72" t="inlineStr">
        <is>
          <t>avverkningsanmälan</t>
        </is>
      </c>
      <c r="C72" t="inlineStr">
        <is>
          <t>Föryngringsavverkning</t>
        </is>
      </c>
      <c r="D72" s="1" t="n">
        <v>45525</v>
      </c>
      <c r="E72" s="1" t="n">
        <v>46219</v>
      </c>
      <c r="F72" t="inlineStr">
        <is>
          <t>VÄSTRA GÖTALANDS LÄN</t>
        </is>
      </c>
      <c r="G72" t="inlineStr">
        <is>
          <t>STENUNGSUND</t>
        </is>
      </c>
      <c r="I72" t="n">
        <v>3.1</v>
      </c>
      <c r="J72" t="n">
        <v>0</v>
      </c>
      <c r="K72" t="n">
        <v>0</v>
      </c>
      <c r="L72" t="n">
        <v>0</v>
      </c>
      <c r="M72" t="n">
        <v>0</v>
      </c>
      <c r="N72" t="n">
        <v>0</v>
      </c>
      <c r="O72" t="n">
        <v>0</v>
      </c>
      <c r="P72" t="n">
        <v>0</v>
      </c>
      <c r="Q72" t="n">
        <v>0</v>
      </c>
      <c r="R72" t="n">
        <v>0</v>
      </c>
      <c r="S72" t="n">
        <v>0</v>
      </c>
      <c r="T72" t="n">
        <v>0</v>
      </c>
      <c r="U72" s="2" t="inlineStr"/>
    </row>
    <row r="73" ht="15" customHeight="1">
      <c r="A73" t="inlineStr">
        <is>
          <t>A 36018-2025</t>
        </is>
      </c>
      <c r="B73" t="inlineStr">
        <is>
          <t>avverkningsanmälan</t>
        </is>
      </c>
      <c r="C73" t="inlineStr">
        <is>
          <t>Föryngringsavverkning</t>
        </is>
      </c>
      <c r="D73" s="1" t="n">
        <v>45863</v>
      </c>
      <c r="E73" s="1" t="n">
        <v>46219</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s="2" t="inlineStr"/>
    </row>
    <row r="74" ht="15" customHeight="1">
      <c r="A74" t="inlineStr">
        <is>
          <t>A 19709-2026</t>
        </is>
      </c>
      <c r="B74" t="inlineStr">
        <is>
          <t>avverkningsanmälan</t>
        </is>
      </c>
      <c r="C74" t="inlineStr">
        <is>
          <t>Föryngringsavverkning</t>
        </is>
      </c>
      <c r="D74" s="1" t="n">
        <v>46134</v>
      </c>
      <c r="E74" s="1" t="n">
        <v>46219</v>
      </c>
      <c r="F74" t="inlineStr">
        <is>
          <t>VÄSTRA GÖTALANDS LÄN</t>
        </is>
      </c>
      <c r="G74" t="inlineStr">
        <is>
          <t>STENUNGSUND</t>
        </is>
      </c>
      <c r="I74" t="n">
        <v>1</v>
      </c>
      <c r="J74" t="n">
        <v>0</v>
      </c>
      <c r="K74" t="n">
        <v>0</v>
      </c>
      <c r="L74" t="n">
        <v>0</v>
      </c>
      <c r="M74" t="n">
        <v>0</v>
      </c>
      <c r="N74" t="n">
        <v>0</v>
      </c>
      <c r="O74" t="n">
        <v>0</v>
      </c>
      <c r="P74" t="n">
        <v>0</v>
      </c>
      <c r="Q74" t="n">
        <v>0</v>
      </c>
      <c r="R74" t="n">
        <v>0</v>
      </c>
      <c r="S74" t="n">
        <v>0</v>
      </c>
      <c r="T74" t="n">
        <v>0</v>
      </c>
      <c r="U74" s="2" t="inlineStr"/>
    </row>
    <row r="75" ht="15" customHeight="1">
      <c r="A75" t="inlineStr">
        <is>
          <t>A 8567-2023</t>
        </is>
      </c>
      <c r="B75" t="inlineStr">
        <is>
          <t>avverkningsanmälan</t>
        </is>
      </c>
      <c r="C75" t="inlineStr">
        <is>
          <t>Föryngringsavverkning</t>
        </is>
      </c>
      <c r="D75" s="1" t="n">
        <v>44977</v>
      </c>
      <c r="E75" s="1" t="n">
        <v>46219</v>
      </c>
      <c r="F75" t="inlineStr">
        <is>
          <t>VÄSTRA GÖTALANDS LÄN</t>
        </is>
      </c>
      <c r="G75" t="inlineStr">
        <is>
          <t>STENUNGSUND</t>
        </is>
      </c>
      <c r="I75" t="n">
        <v>0.9</v>
      </c>
      <c r="J75" t="n">
        <v>0</v>
      </c>
      <c r="K75" t="n">
        <v>0</v>
      </c>
      <c r="L75" t="n">
        <v>0</v>
      </c>
      <c r="M75" t="n">
        <v>0</v>
      </c>
      <c r="N75" t="n">
        <v>0</v>
      </c>
      <c r="O75" t="n">
        <v>0</v>
      </c>
      <c r="P75" t="n">
        <v>0</v>
      </c>
      <c r="Q75" t="n">
        <v>0</v>
      </c>
      <c r="R75" t="n">
        <v>0</v>
      </c>
      <c r="S75" t="n">
        <v>0</v>
      </c>
      <c r="T75" t="n">
        <v>0</v>
      </c>
      <c r="U75" s="2" t="inlineStr"/>
    </row>
    <row r="76" ht="15" customHeight="1">
      <c r="A76" t="inlineStr">
        <is>
          <t>A 6699-2022</t>
        </is>
      </c>
      <c r="B76" t="inlineStr">
        <is>
          <t>avverkningsanmälan</t>
        </is>
      </c>
      <c r="C76" t="inlineStr">
        <is>
          <t>Avverkning för annat ändamål</t>
        </is>
      </c>
      <c r="D76" s="1" t="n">
        <v>44602</v>
      </c>
      <c r="E76" s="1" t="n">
        <v>46219</v>
      </c>
      <c r="F76" t="inlineStr">
        <is>
          <t>VÄSTRA GÖTALANDS LÄN</t>
        </is>
      </c>
      <c r="G76" t="inlineStr">
        <is>
          <t>STENUNGSUND</t>
        </is>
      </c>
      <c r="I76" t="n">
        <v>10</v>
      </c>
      <c r="J76" t="n">
        <v>0</v>
      </c>
      <c r="K76" t="n">
        <v>0</v>
      </c>
      <c r="L76" t="n">
        <v>0</v>
      </c>
      <c r="M76" t="n">
        <v>0</v>
      </c>
      <c r="N76" t="n">
        <v>0</v>
      </c>
      <c r="O76" t="n">
        <v>0</v>
      </c>
      <c r="P76" t="n">
        <v>0</v>
      </c>
      <c r="Q76" t="n">
        <v>0</v>
      </c>
      <c r="R76" t="n">
        <v>0</v>
      </c>
      <c r="S76" t="n">
        <v>0</v>
      </c>
      <c r="T76" t="n">
        <v>0</v>
      </c>
      <c r="U76" s="2" t="inlineStr"/>
    </row>
    <row r="77" ht="15" customHeight="1">
      <c r="A77" t="inlineStr">
        <is>
          <t>A 72944-2021</t>
        </is>
      </c>
      <c r="B77" t="inlineStr">
        <is>
          <t>avverkningsanmälan</t>
        </is>
      </c>
      <c r="C77" t="inlineStr">
        <is>
          <t>Föryngringsavverkning</t>
        </is>
      </c>
      <c r="D77" s="1" t="n">
        <v>44547</v>
      </c>
      <c r="E77" s="1" t="n">
        <v>46219</v>
      </c>
      <c r="F77" t="inlineStr">
        <is>
          <t>VÄSTRA GÖTALANDS LÄN</t>
        </is>
      </c>
      <c r="G77" t="inlineStr">
        <is>
          <t>STENUNGSUND</t>
        </is>
      </c>
      <c r="I77" t="n">
        <v>4.2</v>
      </c>
      <c r="J77" t="n">
        <v>0</v>
      </c>
      <c r="K77" t="n">
        <v>0</v>
      </c>
      <c r="L77" t="n">
        <v>0</v>
      </c>
      <c r="M77" t="n">
        <v>0</v>
      </c>
      <c r="N77" t="n">
        <v>0</v>
      </c>
      <c r="O77" t="n">
        <v>0</v>
      </c>
      <c r="P77" t="n">
        <v>0</v>
      </c>
      <c r="Q77" t="n">
        <v>0</v>
      </c>
      <c r="R77" t="n">
        <v>0</v>
      </c>
      <c r="S77" t="n">
        <v>0</v>
      </c>
      <c r="T77" t="n">
        <v>0</v>
      </c>
      <c r="U77" s="2" t="inlineStr"/>
    </row>
    <row r="78" ht="15" customHeight="1">
      <c r="A78" t="inlineStr">
        <is>
          <t>A 60687-2025</t>
        </is>
      </c>
      <c r="B78" t="inlineStr">
        <is>
          <t>avverkningsanmälan</t>
        </is>
      </c>
      <c r="C78" t="inlineStr">
        <is>
          <t>Föryngringsavverkning</t>
        </is>
      </c>
      <c r="D78" s="1" t="n">
        <v>45996</v>
      </c>
      <c r="E78" s="1" t="n">
        <v>46219</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s="2" t="inlineStr"/>
    </row>
    <row r="79" ht="15" customHeight="1">
      <c r="A79" t="inlineStr">
        <is>
          <t>A 32997-2025</t>
        </is>
      </c>
      <c r="B79" t="inlineStr">
        <is>
          <t>avverkningsanmälan</t>
        </is>
      </c>
      <c r="C79" t="inlineStr">
        <is>
          <t>Föryngringsavverkning</t>
        </is>
      </c>
      <c r="D79" s="1" t="n">
        <v>45840</v>
      </c>
      <c r="E79" s="1" t="n">
        <v>46219</v>
      </c>
      <c r="F79" t="inlineStr">
        <is>
          <t>VÄSTRA GÖTALANDS LÄN</t>
        </is>
      </c>
      <c r="G79" t="inlineStr">
        <is>
          <t>STENUNGSUND</t>
        </is>
      </c>
      <c r="I79" t="n">
        <v>1.6</v>
      </c>
      <c r="J79" t="n">
        <v>0</v>
      </c>
      <c r="K79" t="n">
        <v>0</v>
      </c>
      <c r="L79" t="n">
        <v>0</v>
      </c>
      <c r="M79" t="n">
        <v>0</v>
      </c>
      <c r="N79" t="n">
        <v>0</v>
      </c>
      <c r="O79" t="n">
        <v>0</v>
      </c>
      <c r="P79" t="n">
        <v>0</v>
      </c>
      <c r="Q79" t="n">
        <v>0</v>
      </c>
      <c r="R79" t="n">
        <v>0</v>
      </c>
      <c r="S79" t="n">
        <v>0</v>
      </c>
      <c r="T79" t="n">
        <v>0</v>
      </c>
      <c r="U79" s="2" t="inlineStr"/>
    </row>
    <row r="80" ht="15" customHeight="1">
      <c r="A80" t="inlineStr">
        <is>
          <t>A 15535-2024</t>
        </is>
      </c>
      <c r="B80" t="inlineStr">
        <is>
          <t>avverkningsanmälan</t>
        </is>
      </c>
      <c r="C80" t="inlineStr">
        <is>
          <t>Föryngringsavverkning</t>
        </is>
      </c>
      <c r="D80" s="1" t="n">
        <v>45401</v>
      </c>
      <c r="E80" s="1" t="n">
        <v>46219</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s="2" t="inlineStr"/>
    </row>
    <row r="81" ht="15" customHeight="1">
      <c r="A81" t="inlineStr">
        <is>
          <t>A 3243-2022</t>
        </is>
      </c>
      <c r="B81" t="inlineStr">
        <is>
          <t>avverkningsanmälan</t>
        </is>
      </c>
      <c r="C81" t="inlineStr">
        <is>
          <t>Föryngringsavverkning</t>
        </is>
      </c>
      <c r="D81" s="1" t="n">
        <v>44582</v>
      </c>
      <c r="E81" s="1" t="n">
        <v>46219</v>
      </c>
      <c r="F81" t="inlineStr">
        <is>
          <t>VÄSTRA GÖTALANDS LÄN</t>
        </is>
      </c>
      <c r="G81" t="inlineStr">
        <is>
          <t>STENUNGSUND</t>
        </is>
      </c>
      <c r="I81" t="n">
        <v>7.6</v>
      </c>
      <c r="J81" t="n">
        <v>0</v>
      </c>
      <c r="K81" t="n">
        <v>0</v>
      </c>
      <c r="L81" t="n">
        <v>0</v>
      </c>
      <c r="M81" t="n">
        <v>0</v>
      </c>
      <c r="N81" t="n">
        <v>0</v>
      </c>
      <c r="O81" t="n">
        <v>0</v>
      </c>
      <c r="P81" t="n">
        <v>0</v>
      </c>
      <c r="Q81" t="n">
        <v>0</v>
      </c>
      <c r="R81" t="n">
        <v>0</v>
      </c>
      <c r="S81" t="n">
        <v>0</v>
      </c>
      <c r="T81" t="n">
        <v>0</v>
      </c>
      <c r="U81" s="2" t="inlineStr"/>
    </row>
    <row r="82" ht="15" customHeight="1">
      <c r="A82" t="inlineStr">
        <is>
          <t>A 809-2025</t>
        </is>
      </c>
      <c r="B82" t="inlineStr">
        <is>
          <t>avverkningsanmälan</t>
        </is>
      </c>
      <c r="C82" t="inlineStr">
        <is>
          <t>Föryngringsavverkning</t>
        </is>
      </c>
      <c r="D82" s="1" t="n">
        <v>45665</v>
      </c>
      <c r="E82" s="1" t="n">
        <v>46219</v>
      </c>
      <c r="F82" t="inlineStr">
        <is>
          <t>VÄSTRA GÖTALANDS LÄN</t>
        </is>
      </c>
      <c r="G82" t="inlineStr">
        <is>
          <t>STENUNGSUND</t>
        </is>
      </c>
      <c r="I82" t="n">
        <v>1</v>
      </c>
      <c r="J82" t="n">
        <v>0</v>
      </c>
      <c r="K82" t="n">
        <v>0</v>
      </c>
      <c r="L82" t="n">
        <v>0</v>
      </c>
      <c r="M82" t="n">
        <v>0</v>
      </c>
      <c r="N82" t="n">
        <v>0</v>
      </c>
      <c r="O82" t="n">
        <v>0</v>
      </c>
      <c r="P82" t="n">
        <v>0</v>
      </c>
      <c r="Q82" t="n">
        <v>0</v>
      </c>
      <c r="R82" t="n">
        <v>0</v>
      </c>
      <c r="S82" t="n">
        <v>0</v>
      </c>
      <c r="T82" t="n">
        <v>0</v>
      </c>
      <c r="U82" s="2" t="inlineStr"/>
    </row>
    <row r="83" ht="15" customHeight="1">
      <c r="A83" t="inlineStr">
        <is>
          <t>A 2472-2026</t>
        </is>
      </c>
      <c r="B83" t="inlineStr">
        <is>
          <t>avverkningsanmälan</t>
        </is>
      </c>
      <c r="C83" t="inlineStr">
        <is>
          <t>Föryngringsavverkning</t>
        </is>
      </c>
      <c r="D83" s="1" t="n">
        <v>46037</v>
      </c>
      <c r="E83" s="1" t="n">
        <v>46219</v>
      </c>
      <c r="F83" t="inlineStr">
        <is>
          <t>VÄSTRA GÖTALANDS LÄN</t>
        </is>
      </c>
      <c r="G83" t="inlineStr">
        <is>
          <t>STENUNGSUND</t>
        </is>
      </c>
      <c r="I83" t="n">
        <v>1.1</v>
      </c>
      <c r="J83" t="n">
        <v>0</v>
      </c>
      <c r="K83" t="n">
        <v>0</v>
      </c>
      <c r="L83" t="n">
        <v>0</v>
      </c>
      <c r="M83" t="n">
        <v>0</v>
      </c>
      <c r="N83" t="n">
        <v>0</v>
      </c>
      <c r="O83" t="n">
        <v>0</v>
      </c>
      <c r="P83" t="n">
        <v>0</v>
      </c>
      <c r="Q83" t="n">
        <v>0</v>
      </c>
      <c r="R83" t="n">
        <v>0</v>
      </c>
      <c r="S83" t="n">
        <v>0</v>
      </c>
      <c r="T83" t="n">
        <v>0</v>
      </c>
      <c r="U83" s="2" t="inlineStr"/>
    </row>
    <row r="84" ht="15" customHeight="1">
      <c r="A84" t="inlineStr">
        <is>
          <t>A 2481-2026</t>
        </is>
      </c>
      <c r="B84" t="inlineStr">
        <is>
          <t>avverkningsanmälan</t>
        </is>
      </c>
      <c r="C84" t="inlineStr">
        <is>
          <t>Föryngringsavverkning</t>
        </is>
      </c>
      <c r="D84" s="1" t="n">
        <v>46037</v>
      </c>
      <c r="E84" s="1" t="n">
        <v>46219</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s="2" t="inlineStr"/>
    </row>
    <row r="85" ht="15" customHeight="1">
      <c r="A85" t="inlineStr">
        <is>
          <t>A 33950-2023</t>
        </is>
      </c>
      <c r="B85" t="inlineStr">
        <is>
          <t>avverkningsanmälan</t>
        </is>
      </c>
      <c r="C85" t="inlineStr">
        <is>
          <t>Föryngringsavverkning</t>
        </is>
      </c>
      <c r="D85" s="1" t="n">
        <v>45134</v>
      </c>
      <c r="E85" s="1" t="n">
        <v>46219</v>
      </c>
      <c r="F85" t="inlineStr">
        <is>
          <t>VÄSTRA GÖTALANDS LÄN</t>
        </is>
      </c>
      <c r="G85" t="inlineStr">
        <is>
          <t>STENUNGSUND</t>
        </is>
      </c>
      <c r="I85" t="n">
        <v>1.7</v>
      </c>
      <c r="J85" t="n">
        <v>0</v>
      </c>
      <c r="K85" t="n">
        <v>0</v>
      </c>
      <c r="L85" t="n">
        <v>0</v>
      </c>
      <c r="M85" t="n">
        <v>0</v>
      </c>
      <c r="N85" t="n">
        <v>0</v>
      </c>
      <c r="O85" t="n">
        <v>0</v>
      </c>
      <c r="P85" t="n">
        <v>0</v>
      </c>
      <c r="Q85" t="n">
        <v>0</v>
      </c>
      <c r="R85" t="n">
        <v>0</v>
      </c>
      <c r="S85" t="n">
        <v>0</v>
      </c>
      <c r="T85" t="n">
        <v>0</v>
      </c>
      <c r="U85" s="2" t="inlineStr"/>
    </row>
    <row r="86" ht="15" customHeight="1">
      <c r="A86" t="inlineStr">
        <is>
          <t>A 40950-2023</t>
        </is>
      </c>
      <c r="B86" t="inlineStr">
        <is>
          <t>avverkningsanmälan</t>
        </is>
      </c>
      <c r="C86" t="inlineStr">
        <is>
          <t>Föryngringsavverkning</t>
        </is>
      </c>
      <c r="D86" s="1" t="n">
        <v>45173</v>
      </c>
      <c r="E86" s="1" t="n">
        <v>46219</v>
      </c>
      <c r="F86" t="inlineStr">
        <is>
          <t>VÄSTRA GÖTALANDS LÄN</t>
        </is>
      </c>
      <c r="G86" t="inlineStr">
        <is>
          <t>STENUNGSUND</t>
        </is>
      </c>
      <c r="I86" t="n">
        <v>6.3</v>
      </c>
      <c r="J86" t="n">
        <v>0</v>
      </c>
      <c r="K86" t="n">
        <v>0</v>
      </c>
      <c r="L86" t="n">
        <v>0</v>
      </c>
      <c r="M86" t="n">
        <v>0</v>
      </c>
      <c r="N86" t="n">
        <v>0</v>
      </c>
      <c r="O86" t="n">
        <v>0</v>
      </c>
      <c r="P86" t="n">
        <v>0</v>
      </c>
      <c r="Q86" t="n">
        <v>0</v>
      </c>
      <c r="R86" t="n">
        <v>0</v>
      </c>
      <c r="S86" t="n">
        <v>0</v>
      </c>
      <c r="T86" t="n">
        <v>0</v>
      </c>
      <c r="U86" s="2" t="inlineStr"/>
    </row>
    <row r="87" ht="15" customHeight="1">
      <c r="A87" t="inlineStr">
        <is>
          <t>A 51661-2023</t>
        </is>
      </c>
      <c r="B87" t="inlineStr">
        <is>
          <t>avverkningsanmälan</t>
        </is>
      </c>
      <c r="C87" t="inlineStr">
        <is>
          <t>Föryngringsavverkning</t>
        </is>
      </c>
      <c r="D87" s="1" t="n">
        <v>45215</v>
      </c>
      <c r="E87" s="1" t="n">
        <v>46219</v>
      </c>
      <c r="F87" t="inlineStr">
        <is>
          <t>VÄSTRA GÖTALANDS LÄN</t>
        </is>
      </c>
      <c r="G87" t="inlineStr">
        <is>
          <t>STENUNGSUND</t>
        </is>
      </c>
      <c r="I87" t="n">
        <v>9.1</v>
      </c>
      <c r="J87" t="n">
        <v>0</v>
      </c>
      <c r="K87" t="n">
        <v>0</v>
      </c>
      <c r="L87" t="n">
        <v>0</v>
      </c>
      <c r="M87" t="n">
        <v>0</v>
      </c>
      <c r="N87" t="n">
        <v>0</v>
      </c>
      <c r="O87" t="n">
        <v>0</v>
      </c>
      <c r="P87" t="n">
        <v>0</v>
      </c>
      <c r="Q87" t="n">
        <v>0</v>
      </c>
      <c r="R87" t="n">
        <v>0</v>
      </c>
      <c r="S87" t="n">
        <v>0</v>
      </c>
      <c r="T87" t="n">
        <v>0</v>
      </c>
      <c r="U87" s="2" t="inlineStr"/>
    </row>
    <row r="88" ht="15" customHeight="1">
      <c r="A88" t="inlineStr">
        <is>
          <t>A 7562-2026</t>
        </is>
      </c>
      <c r="B88" t="inlineStr">
        <is>
          <t>avverkningsanmälan</t>
        </is>
      </c>
      <c r="C88" t="inlineStr">
        <is>
          <t>Föryngringsavverkning</t>
        </is>
      </c>
      <c r="D88" s="1" t="n">
        <v>46060</v>
      </c>
      <c r="E88" s="1" t="n">
        <v>46219</v>
      </c>
      <c r="F88" t="inlineStr">
        <is>
          <t>VÄSTRA GÖTALANDS LÄN</t>
        </is>
      </c>
      <c r="G88" t="inlineStr">
        <is>
          <t>STENUNGSUND</t>
        </is>
      </c>
      <c r="I88" t="n">
        <v>2.3</v>
      </c>
      <c r="J88" t="n">
        <v>0</v>
      </c>
      <c r="K88" t="n">
        <v>0</v>
      </c>
      <c r="L88" t="n">
        <v>0</v>
      </c>
      <c r="M88" t="n">
        <v>0</v>
      </c>
      <c r="N88" t="n">
        <v>0</v>
      </c>
      <c r="O88" t="n">
        <v>0</v>
      </c>
      <c r="P88" t="n">
        <v>0</v>
      </c>
      <c r="Q88" t="n">
        <v>0</v>
      </c>
      <c r="R88" t="n">
        <v>0</v>
      </c>
      <c r="S88" t="n">
        <v>0</v>
      </c>
      <c r="T88" t="n">
        <v>0</v>
      </c>
      <c r="U88" s="2" t="inlineStr"/>
    </row>
    <row r="89" ht="15" customHeight="1">
      <c r="A89" t="inlineStr">
        <is>
          <t>A 11362-2025</t>
        </is>
      </c>
      <c r="B89" t="inlineStr">
        <is>
          <t>avverkningsanmälan</t>
        </is>
      </c>
      <c r="C89" t="inlineStr">
        <is>
          <t>Föryngringsavverkning</t>
        </is>
      </c>
      <c r="D89" s="1" t="n">
        <v>45726</v>
      </c>
      <c r="E89" s="1" t="n">
        <v>46219</v>
      </c>
      <c r="F89" t="inlineStr">
        <is>
          <t>VÄSTRA GÖTALANDS LÄN</t>
        </is>
      </c>
      <c r="G89" t="inlineStr">
        <is>
          <t>STENUNGSUND</t>
        </is>
      </c>
      <c r="I89" t="n">
        <v>6.4</v>
      </c>
      <c r="J89" t="n">
        <v>0</v>
      </c>
      <c r="K89" t="n">
        <v>0</v>
      </c>
      <c r="L89" t="n">
        <v>0</v>
      </c>
      <c r="M89" t="n">
        <v>0</v>
      </c>
      <c r="N89" t="n">
        <v>0</v>
      </c>
      <c r="O89" t="n">
        <v>0</v>
      </c>
      <c r="P89" t="n">
        <v>0</v>
      </c>
      <c r="Q89" t="n">
        <v>0</v>
      </c>
      <c r="R89" t="n">
        <v>0</v>
      </c>
      <c r="S89" t="n">
        <v>0</v>
      </c>
      <c r="T89" t="n">
        <v>0</v>
      </c>
      <c r="U89" s="2" t="inlineStr"/>
    </row>
    <row r="90" ht="15" customHeight="1">
      <c r="A90" t="inlineStr">
        <is>
          <t>A 19296-2025</t>
        </is>
      </c>
      <c r="B90" t="inlineStr">
        <is>
          <t>avverkningsanmälan</t>
        </is>
      </c>
      <c r="C90" t="inlineStr">
        <is>
          <t>Föryngringsavverkning</t>
        </is>
      </c>
      <c r="D90" s="1" t="n">
        <v>45769</v>
      </c>
      <c r="E90" s="1" t="n">
        <v>46219</v>
      </c>
      <c r="F90" t="inlineStr">
        <is>
          <t>VÄSTRA GÖTALANDS LÄN</t>
        </is>
      </c>
      <c r="G90" t="inlineStr">
        <is>
          <t>STENUNGSUND</t>
        </is>
      </c>
      <c r="I90" t="n">
        <v>3.3</v>
      </c>
      <c r="J90" t="n">
        <v>0</v>
      </c>
      <c r="K90" t="n">
        <v>0</v>
      </c>
      <c r="L90" t="n">
        <v>0</v>
      </c>
      <c r="M90" t="n">
        <v>0</v>
      </c>
      <c r="N90" t="n">
        <v>0</v>
      </c>
      <c r="O90" t="n">
        <v>0</v>
      </c>
      <c r="P90" t="n">
        <v>0</v>
      </c>
      <c r="Q90" t="n">
        <v>0</v>
      </c>
      <c r="R90" t="n">
        <v>0</v>
      </c>
      <c r="S90" t="n">
        <v>0</v>
      </c>
      <c r="T90" t="n">
        <v>0</v>
      </c>
      <c r="U90" s="2" t="inlineStr"/>
    </row>
    <row r="91" ht="15" customHeight="1">
      <c r="A91" t="inlineStr">
        <is>
          <t>A 23070-2022</t>
        </is>
      </c>
      <c r="B91" t="inlineStr">
        <is>
          <t>avverkningsanmälan</t>
        </is>
      </c>
      <c r="C91" t="inlineStr">
        <is>
          <t>Föryngringsavverkning</t>
        </is>
      </c>
      <c r="D91" s="1" t="n">
        <v>44719</v>
      </c>
      <c r="E91" s="1" t="n">
        <v>46219</v>
      </c>
      <c r="F91" t="inlineStr">
        <is>
          <t>VÄSTRA GÖTALANDS LÄN</t>
        </is>
      </c>
      <c r="G91" t="inlineStr">
        <is>
          <t>STENUNGSUND</t>
        </is>
      </c>
      <c r="I91" t="n">
        <v>4.1</v>
      </c>
      <c r="J91" t="n">
        <v>0</v>
      </c>
      <c r="K91" t="n">
        <v>0</v>
      </c>
      <c r="L91" t="n">
        <v>0</v>
      </c>
      <c r="M91" t="n">
        <v>0</v>
      </c>
      <c r="N91" t="n">
        <v>0</v>
      </c>
      <c r="O91" t="n">
        <v>0</v>
      </c>
      <c r="P91" t="n">
        <v>0</v>
      </c>
      <c r="Q91" t="n">
        <v>0</v>
      </c>
      <c r="R91" t="n">
        <v>0</v>
      </c>
      <c r="S91" t="n">
        <v>0</v>
      </c>
      <c r="T91" t="n">
        <v>0</v>
      </c>
      <c r="U91" s="2" t="inlineStr"/>
    </row>
    <row r="92" ht="15" customHeight="1">
      <c r="A92" t="inlineStr">
        <is>
          <t>A 32960-2023</t>
        </is>
      </c>
      <c r="B92" t="inlineStr">
        <is>
          <t>avverkningsanmälan</t>
        </is>
      </c>
      <c r="C92" t="inlineStr">
        <is>
          <t>Avverkning för annat ändamål</t>
        </is>
      </c>
      <c r="D92" s="1" t="n">
        <v>45125</v>
      </c>
      <c r="E92" s="1" t="n">
        <v>46219</v>
      </c>
      <c r="F92" t="inlineStr">
        <is>
          <t>VÄSTRA GÖTALANDS LÄN</t>
        </is>
      </c>
      <c r="G92" t="inlineStr">
        <is>
          <t>STENUNGSUND</t>
        </is>
      </c>
      <c r="I92" t="n">
        <v>3.9</v>
      </c>
      <c r="J92" t="n">
        <v>0</v>
      </c>
      <c r="K92" t="n">
        <v>0</v>
      </c>
      <c r="L92" t="n">
        <v>0</v>
      </c>
      <c r="M92" t="n">
        <v>0</v>
      </c>
      <c r="N92" t="n">
        <v>0</v>
      </c>
      <c r="O92" t="n">
        <v>0</v>
      </c>
      <c r="P92" t="n">
        <v>0</v>
      </c>
      <c r="Q92" t="n">
        <v>0</v>
      </c>
      <c r="R92" t="n">
        <v>0</v>
      </c>
      <c r="S92" t="n">
        <v>0</v>
      </c>
      <c r="T92" t="n">
        <v>0</v>
      </c>
      <c r="U92" s="2" t="inlineStr"/>
    </row>
    <row r="93" ht="15" customHeight="1">
      <c r="A93" t="inlineStr">
        <is>
          <t>A 24211-2025</t>
        </is>
      </c>
      <c r="B93" t="inlineStr">
        <is>
          <t>avverkningsanmälan</t>
        </is>
      </c>
      <c r="C93" t="inlineStr">
        <is>
          <t>Föryngringsavverkning</t>
        </is>
      </c>
      <c r="D93" s="1" t="n">
        <v>45797</v>
      </c>
      <c r="E93" s="1" t="n">
        <v>46219</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s="2" t="inlineStr"/>
    </row>
    <row r="94" ht="15" customHeight="1">
      <c r="A94" t="inlineStr">
        <is>
          <t>A 4578-2023</t>
        </is>
      </c>
      <c r="B94" t="inlineStr">
        <is>
          <t>avverkningsanmälan</t>
        </is>
      </c>
      <c r="C94" t="inlineStr">
        <is>
          <t>Föryngringsavverkning</t>
        </is>
      </c>
      <c r="D94" s="1" t="n">
        <v>44951</v>
      </c>
      <c r="E94" s="1" t="n">
        <v>46219</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s="2" t="inlineStr"/>
    </row>
    <row r="95" ht="15" customHeight="1">
      <c r="A95" t="inlineStr">
        <is>
          <t>A 60832-2024</t>
        </is>
      </c>
      <c r="B95" t="inlineStr">
        <is>
          <t>avverkningsanmälan</t>
        </is>
      </c>
      <c r="C95" t="inlineStr">
        <is>
          <t>Föryngringsavverkning</t>
        </is>
      </c>
      <c r="D95" s="1" t="n">
        <v>45644</v>
      </c>
      <c r="E95" s="1" t="n">
        <v>46219</v>
      </c>
      <c r="F95" t="inlineStr">
        <is>
          <t>VÄSTRA GÖTALANDS LÄN</t>
        </is>
      </c>
      <c r="G95" t="inlineStr">
        <is>
          <t>STENUNGSUND</t>
        </is>
      </c>
      <c r="I95" t="n">
        <v>2.8</v>
      </c>
      <c r="J95" t="n">
        <v>0</v>
      </c>
      <c r="K95" t="n">
        <v>0</v>
      </c>
      <c r="L95" t="n">
        <v>0</v>
      </c>
      <c r="M95" t="n">
        <v>0</v>
      </c>
      <c r="N95" t="n">
        <v>0</v>
      </c>
      <c r="O95" t="n">
        <v>0</v>
      </c>
      <c r="P95" t="n">
        <v>0</v>
      </c>
      <c r="Q95" t="n">
        <v>0</v>
      </c>
      <c r="R95" t="n">
        <v>0</v>
      </c>
      <c r="S95" t="n">
        <v>0</v>
      </c>
      <c r="T95" t="n">
        <v>0</v>
      </c>
      <c r="U95" s="2" t="inlineStr"/>
    </row>
    <row r="96" ht="15" customHeight="1">
      <c r="A96" t="inlineStr">
        <is>
          <t>A 17362-2026</t>
        </is>
      </c>
      <c r="B96" t="inlineStr">
        <is>
          <t>avverkningsanmälan</t>
        </is>
      </c>
      <c r="C96" t="inlineStr">
        <is>
          <t>Föryngringsavverkning</t>
        </is>
      </c>
      <c r="D96" s="1" t="n">
        <v>46119</v>
      </c>
      <c r="E96" s="1" t="n">
        <v>46219</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s="2" t="inlineStr"/>
    </row>
    <row r="97" ht="15" customHeight="1">
      <c r="A97" t="inlineStr">
        <is>
          <t>A 48365-2024</t>
        </is>
      </c>
      <c r="B97" t="inlineStr">
        <is>
          <t>avverkningsanmälan</t>
        </is>
      </c>
      <c r="C97" t="inlineStr">
        <is>
          <t>Föryngringsavverkning</t>
        </is>
      </c>
      <c r="D97" s="1" t="n">
        <v>45590</v>
      </c>
      <c r="E97" s="1" t="n">
        <v>46219</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s="2" t="inlineStr"/>
    </row>
    <row r="98" ht="15" customHeight="1">
      <c r="A98" t="inlineStr">
        <is>
          <t>A 18016-2026</t>
        </is>
      </c>
      <c r="B98" t="inlineStr">
        <is>
          <t>avverkningsanmälan</t>
        </is>
      </c>
      <c r="C98" t="inlineStr">
        <is>
          <t>Föryngringsavverkning</t>
        </is>
      </c>
      <c r="D98" s="1" t="n">
        <v>46125</v>
      </c>
      <c r="E98" s="1" t="n">
        <v>46219</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s="2" t="inlineStr"/>
    </row>
    <row r="99" ht="15" customHeight="1">
      <c r="A99" t="inlineStr">
        <is>
          <t>A 9893-2025</t>
        </is>
      </c>
      <c r="B99" t="inlineStr">
        <is>
          <t>avverkningsanmälan</t>
        </is>
      </c>
      <c r="C99" t="inlineStr">
        <is>
          <t>Föryngringsavverkning</t>
        </is>
      </c>
      <c r="D99" s="1" t="n">
        <v>45716</v>
      </c>
      <c r="E99" s="1" t="n">
        <v>46219</v>
      </c>
      <c r="F99" t="inlineStr">
        <is>
          <t>VÄSTRA GÖTALANDS LÄN</t>
        </is>
      </c>
      <c r="G99" t="inlineStr">
        <is>
          <t>STENUNGSUND</t>
        </is>
      </c>
      <c r="I99" t="n">
        <v>3.2</v>
      </c>
      <c r="J99" t="n">
        <v>0</v>
      </c>
      <c r="K99" t="n">
        <v>0</v>
      </c>
      <c r="L99" t="n">
        <v>0</v>
      </c>
      <c r="M99" t="n">
        <v>0</v>
      </c>
      <c r="N99" t="n">
        <v>0</v>
      </c>
      <c r="O99" t="n">
        <v>0</v>
      </c>
      <c r="P99" t="n">
        <v>0</v>
      </c>
      <c r="Q99" t="n">
        <v>0</v>
      </c>
      <c r="R99" t="n">
        <v>0</v>
      </c>
      <c r="S99" t="n">
        <v>0</v>
      </c>
      <c r="T99" t="n">
        <v>0</v>
      </c>
      <c r="U99" s="2" t="inlineStr"/>
    </row>
    <row r="100" ht="15" customHeight="1">
      <c r="A100" t="inlineStr">
        <is>
          <t>A 2412-2024</t>
        </is>
      </c>
      <c r="B100" t="inlineStr">
        <is>
          <t>avverkningsanmälan</t>
        </is>
      </c>
      <c r="C100" t="inlineStr">
        <is>
          <t>Föryngringsavverkning</t>
        </is>
      </c>
      <c r="D100" s="1" t="n">
        <v>45310</v>
      </c>
      <c r="E100" s="1" t="n">
        <v>46219</v>
      </c>
      <c r="F100" t="inlineStr">
        <is>
          <t>VÄSTRA GÖTALANDS LÄN</t>
        </is>
      </c>
      <c r="G100" t="inlineStr">
        <is>
          <t>STENUNGSUND</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34253-2023</t>
        </is>
      </c>
      <c r="B101" t="inlineStr">
        <is>
          <t>avverkningsanmälan</t>
        </is>
      </c>
      <c r="C101" t="inlineStr">
        <is>
          <t>Föryngringsavverkning</t>
        </is>
      </c>
      <c r="D101" s="1" t="n">
        <v>45138</v>
      </c>
      <c r="E101" s="1" t="n">
        <v>46219</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51367-2024</t>
        </is>
      </c>
      <c r="B102" t="inlineStr">
        <is>
          <t>avverkningsanmälan</t>
        </is>
      </c>
      <c r="C102" t="inlineStr">
        <is>
          <t>Föryngringsavverkning</t>
        </is>
      </c>
      <c r="D102" s="1" t="n">
        <v>45604</v>
      </c>
      <c r="E102" s="1" t="n">
        <v>46219</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54931-2024</t>
        </is>
      </c>
      <c r="B103" t="inlineStr">
        <is>
          <t>avverkningsanmälan</t>
        </is>
      </c>
      <c r="C103" t="inlineStr">
        <is>
          <t>Föryngringsavverkning</t>
        </is>
      </c>
      <c r="D103" s="1" t="n">
        <v>45618</v>
      </c>
      <c r="E103" s="1" t="n">
        <v>46219</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3569-2023</t>
        </is>
      </c>
      <c r="B104" t="inlineStr">
        <is>
          <t>avverkningsanmälan</t>
        </is>
      </c>
      <c r="C104" t="inlineStr">
        <is>
          <t>Föryngringsavverkning</t>
        </is>
      </c>
      <c r="D104" s="1" t="n">
        <v>44950</v>
      </c>
      <c r="E104" s="1" t="n">
        <v>46219</v>
      </c>
      <c r="F104" t="inlineStr">
        <is>
          <t>VÄSTRA GÖTALANDS LÄN</t>
        </is>
      </c>
      <c r="G104" t="inlineStr">
        <is>
          <t>STENUNGSUND</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8684-2024</t>
        </is>
      </c>
      <c r="B105" t="inlineStr">
        <is>
          <t>avverkningsanmälan</t>
        </is>
      </c>
      <c r="C105" t="inlineStr">
        <is>
          <t>Föryngringsavverkning</t>
        </is>
      </c>
      <c r="D105" s="1" t="n">
        <v>45356</v>
      </c>
      <c r="E105" s="1" t="n">
        <v>46219</v>
      </c>
      <c r="F105" t="inlineStr">
        <is>
          <t>VÄSTRA GÖTALANDS LÄN</t>
        </is>
      </c>
      <c r="G105" t="inlineStr">
        <is>
          <t>STENUNGSUND</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8544-2023</t>
        </is>
      </c>
      <c r="B106" t="inlineStr">
        <is>
          <t>avverkningsanmälan</t>
        </is>
      </c>
      <c r="C106" t="inlineStr">
        <is>
          <t>Föryngringsavverkning</t>
        </is>
      </c>
      <c r="D106" s="1" t="n">
        <v>44977</v>
      </c>
      <c r="E106" s="1" t="n">
        <v>46219</v>
      </c>
      <c r="F106" t="inlineStr">
        <is>
          <t>VÄSTRA GÖTALANDS LÄN</t>
        </is>
      </c>
      <c r="G106" t="inlineStr">
        <is>
          <t>STENUNGSUND</t>
        </is>
      </c>
      <c r="I106" t="n">
        <v>8.199999999999999</v>
      </c>
      <c r="J106" t="n">
        <v>0</v>
      </c>
      <c r="K106" t="n">
        <v>0</v>
      </c>
      <c r="L106" t="n">
        <v>0</v>
      </c>
      <c r="M106" t="n">
        <v>0</v>
      </c>
      <c r="N106" t="n">
        <v>0</v>
      </c>
      <c r="O106" t="n">
        <v>0</v>
      </c>
      <c r="P106" t="n">
        <v>0</v>
      </c>
      <c r="Q106" t="n">
        <v>0</v>
      </c>
      <c r="R106" t="n">
        <v>0</v>
      </c>
      <c r="S106" t="n">
        <v>0</v>
      </c>
      <c r="T106" t="n">
        <v>0</v>
      </c>
      <c r="U106" s="2" t="inlineStr"/>
    </row>
    <row r="107" ht="15" customHeight="1">
      <c r="A107" t="inlineStr">
        <is>
          <t>A 15726-2025</t>
        </is>
      </c>
      <c r="B107" t="inlineStr">
        <is>
          <t>avverkningsanmälan</t>
        </is>
      </c>
      <c r="C107" t="inlineStr">
        <is>
          <t>Föryngringsavverkning</t>
        </is>
      </c>
      <c r="D107" s="1" t="n">
        <v>45748</v>
      </c>
      <c r="E107" s="1" t="n">
        <v>46219</v>
      </c>
      <c r="F107" t="inlineStr">
        <is>
          <t>VÄSTRA GÖTALANDS LÄN</t>
        </is>
      </c>
      <c r="G107" t="inlineStr">
        <is>
          <t>STENUNGSUND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35172-2025</t>
        </is>
      </c>
      <c r="B108" t="inlineStr">
        <is>
          <t>avverkningsanmälan</t>
        </is>
      </c>
      <c r="C108" t="inlineStr">
        <is>
          <t>Föryngringsavverkning</t>
        </is>
      </c>
      <c r="D108" s="1" t="n">
        <v>45852</v>
      </c>
      <c r="E108" s="1" t="n">
        <v>46219</v>
      </c>
      <c r="F108" t="inlineStr">
        <is>
          <t>VÄSTRA GÖTALANDS LÄN</t>
        </is>
      </c>
      <c r="G108" t="inlineStr">
        <is>
          <t>STENUNGSUND</t>
        </is>
      </c>
      <c r="I108" t="n">
        <v>4.5</v>
      </c>
      <c r="J108" t="n">
        <v>0</v>
      </c>
      <c r="K108" t="n">
        <v>0</v>
      </c>
      <c r="L108" t="n">
        <v>0</v>
      </c>
      <c r="M108" t="n">
        <v>0</v>
      </c>
      <c r="N108" t="n">
        <v>0</v>
      </c>
      <c r="O108" t="n">
        <v>0</v>
      </c>
      <c r="P108" t="n">
        <v>0</v>
      </c>
      <c r="Q108" t="n">
        <v>0</v>
      </c>
      <c r="R108" t="n">
        <v>0</v>
      </c>
      <c r="S108" t="n">
        <v>0</v>
      </c>
      <c r="T108" t="n">
        <v>0</v>
      </c>
      <c r="U108" s="2" t="inlineStr"/>
    </row>
    <row r="109" ht="15" customHeight="1">
      <c r="A109" t="inlineStr">
        <is>
          <t>A 9282-2025</t>
        </is>
      </c>
      <c r="B109" t="inlineStr">
        <is>
          <t>avverkningsanmälan</t>
        </is>
      </c>
      <c r="C109" t="inlineStr">
        <is>
          <t>Föryngringsavverkning</t>
        </is>
      </c>
      <c r="D109" s="1" t="n">
        <v>45714</v>
      </c>
      <c r="E109" s="1" t="n">
        <v>46219</v>
      </c>
      <c r="F109" t="inlineStr">
        <is>
          <t>VÄSTRA GÖTALANDS LÄN</t>
        </is>
      </c>
      <c r="G109" t="inlineStr">
        <is>
          <t>STENUNGSUND</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26654-2026</t>
        </is>
      </c>
      <c r="B110" t="inlineStr">
        <is>
          <t>avverkningsanmälan</t>
        </is>
      </c>
      <c r="C110" t="inlineStr">
        <is>
          <t>Föryngringsavverkning</t>
        </is>
      </c>
      <c r="D110" s="1" t="n">
        <v>46184</v>
      </c>
      <c r="E110" s="1" t="n">
        <v>46219</v>
      </c>
      <c r="F110" t="inlineStr">
        <is>
          <t>VÄSTRA GÖTALANDS LÄN</t>
        </is>
      </c>
      <c r="G110" t="inlineStr">
        <is>
          <t>STENUNGSUND</t>
        </is>
      </c>
      <c r="I110" t="n">
        <v>2</v>
      </c>
      <c r="J110" t="n">
        <v>0</v>
      </c>
      <c r="K110" t="n">
        <v>0</v>
      </c>
      <c r="L110" t="n">
        <v>0</v>
      </c>
      <c r="M110" t="n">
        <v>0</v>
      </c>
      <c r="N110" t="n">
        <v>0</v>
      </c>
      <c r="O110" t="n">
        <v>0</v>
      </c>
      <c r="P110" t="n">
        <v>0</v>
      </c>
      <c r="Q110" t="n">
        <v>0</v>
      </c>
      <c r="R110" t="n">
        <v>0</v>
      </c>
      <c r="S110" t="n">
        <v>0</v>
      </c>
      <c r="T110" t="n">
        <v>0</v>
      </c>
      <c r="U110" s="2" t="inlineStr"/>
    </row>
    <row r="111" ht="15" customHeight="1">
      <c r="A111" t="inlineStr">
        <is>
          <t>A 14981-2025</t>
        </is>
      </c>
      <c r="B111" t="inlineStr">
        <is>
          <t>avverkningsanmälan</t>
        </is>
      </c>
      <c r="C111" t="inlineStr">
        <is>
          <t>Föryngringsavverkning</t>
        </is>
      </c>
      <c r="D111" s="1" t="n">
        <v>45743</v>
      </c>
      <c r="E111" s="1" t="n">
        <v>46219</v>
      </c>
      <c r="F111" t="inlineStr">
        <is>
          <t>VÄSTRA GÖTALANDS LÄN</t>
        </is>
      </c>
      <c r="G111" t="inlineStr">
        <is>
          <t>STENUNGSUND</t>
        </is>
      </c>
      <c r="I111" t="n">
        <v>4.8</v>
      </c>
      <c r="J111" t="n">
        <v>0</v>
      </c>
      <c r="K111" t="n">
        <v>0</v>
      </c>
      <c r="L111" t="n">
        <v>0</v>
      </c>
      <c r="M111" t="n">
        <v>0</v>
      </c>
      <c r="N111" t="n">
        <v>0</v>
      </c>
      <c r="O111" t="n">
        <v>0</v>
      </c>
      <c r="P111" t="n">
        <v>0</v>
      </c>
      <c r="Q111" t="n">
        <v>0</v>
      </c>
      <c r="R111" t="n">
        <v>0</v>
      </c>
      <c r="S111" t="n">
        <v>0</v>
      </c>
      <c r="T111" t="n">
        <v>0</v>
      </c>
      <c r="U111" s="2" t="inlineStr"/>
    </row>
    <row r="112" ht="15" customHeight="1">
      <c r="A112" t="inlineStr">
        <is>
          <t>A 28665-2026</t>
        </is>
      </c>
      <c r="B112" t="inlineStr">
        <is>
          <t>avverkningsanmälan</t>
        </is>
      </c>
      <c r="C112" t="inlineStr">
        <is>
          <t>Föryngringsavverkning</t>
        </is>
      </c>
      <c r="D112" s="1" t="n">
        <v>46191</v>
      </c>
      <c r="E112" s="1" t="n">
        <v>46219</v>
      </c>
      <c r="F112" t="inlineStr">
        <is>
          <t>VÄSTRA GÖTALANDS LÄN</t>
        </is>
      </c>
      <c r="G112" t="inlineStr">
        <is>
          <t>STENUNGSUND</t>
        </is>
      </c>
      <c r="I112" t="n">
        <v>2.2</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46219</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2026-07-16T01:26:55Z</dcterms:created>
  <dcterms:modified xmlns:dcterms="http://purl.org/dc/terms/" xmlns:xsi="http://www.w3.org/2001/XMLSchema-instance" xsi:type="dcterms:W3CDTF">2026-07-16T01:26:55Z</dcterms:modified>
</cp:coreProperties>
</file>