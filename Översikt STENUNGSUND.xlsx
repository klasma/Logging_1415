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46487-2023</t>
        </is>
      </c>
      <c r="B2" t="inlineStr">
        <is>
          <t>avverkningsanmälan</t>
        </is>
      </c>
      <c r="C2" t="inlineStr">
        <is>
          <t>Föryngringsavverkning</t>
        </is>
      </c>
      <c r="D2" s="1" t="n">
        <v>45197</v>
      </c>
      <c r="E2" s="1" t="n">
        <v>46218</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2">
        <f>HYPERLINK("https://klasma.github.io/Logging_1415/artfynd/A 46487-2023 artfynd.xlsx", "A 46487-2023")</f>
        <v/>
      </c>
      <c r="W2">
        <f>HYPERLINK("https://klasma.github.io/Logging_1415/kartor/A 46487-2023 karta.png", "A 46487-2023")</f>
        <v/>
      </c>
      <c r="Y2">
        <f>HYPERLINK("https://klasma.github.io/Logging_1415/klagomål/A 46487-2023 FSC-klagomål.docx", "A 46487-2023")</f>
        <v/>
      </c>
      <c r="Z2">
        <f>HYPERLINK("https://klasma.github.io/Logging_1415/klagomålsmail/A 46487-2023 FSC-klagomål mail.docx", "A 46487-2023")</f>
        <v/>
      </c>
      <c r="AA2">
        <f>HYPERLINK("https://klasma.github.io/Logging_1415/tillsyn/A 46487-2023 tillsynsbegäran.docx", "A 46487-2023")</f>
        <v/>
      </c>
      <c r="AB2">
        <f>HYPERLINK("https://klasma.github.io/Logging_1415/tillsynsmail/A 46487-2023 tillsynsbegäran mail.docx", "A 46487-2023")</f>
        <v/>
      </c>
      <c r="AC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46218</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s="2" t="inlineStr">
        <is>
          <t>Goliatmusseron
Grönfink
Dropptaggsvamp
Duvhök
Entita
Talltita
Älg
Stor revmossa
Västlig hakmossa
Järpe
Spillkråka
Grönsiska
Kråka
Kungsfågel
Orre
Sångsvan
Huggorm</t>
        </is>
      </c>
      <c r="V3">
        <f>HYPERLINK("https://klasma.github.io/Logging_1415/artfynd/A 46483-2023 artfynd.xlsx", "A 46483-2023")</f>
        <v/>
      </c>
      <c r="W3">
        <f>HYPERLINK("https://klasma.github.io/Logging_1415/kartor/A 46483-2023 karta.png", "A 46483-2023")</f>
        <v/>
      </c>
      <c r="Y3">
        <f>HYPERLINK("https://klasma.github.io/Logging_1415/klagomål/A 46483-2023 FSC-klagomål.docx", "A 46483-2023")</f>
        <v/>
      </c>
      <c r="Z3">
        <f>HYPERLINK("https://klasma.github.io/Logging_1415/klagomålsmail/A 46483-2023 FSC-klagomål mail.docx", "A 46483-2023")</f>
        <v/>
      </c>
      <c r="AA3">
        <f>HYPERLINK("https://klasma.github.io/Logging_1415/tillsyn/A 46483-2023 tillsynsbegäran.docx", "A 46483-2023")</f>
        <v/>
      </c>
      <c r="AB3">
        <f>HYPERLINK("https://klasma.github.io/Logging_1415/tillsynsmail/A 46483-2023 tillsynsbegäran mail.docx", "A 46483-2023")</f>
        <v/>
      </c>
      <c r="AC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46218</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s="2" t="inlineStr">
        <is>
          <t>Talltita
Björksplintborre
Spillkråka
Tjäder
Kungsfågel
Revlummer
Äkta lopplummer</t>
        </is>
      </c>
      <c r="V4">
        <f>HYPERLINK("https://klasma.github.io/Logging_1415/artfynd/A 1291-2025 artfynd.xlsx", "A 1291-2025")</f>
        <v/>
      </c>
      <c r="W4">
        <f>HYPERLINK("https://klasma.github.io/Logging_1415/kartor/A 1291-2025 karta.png", "A 1291-2025")</f>
        <v/>
      </c>
      <c r="Y4">
        <f>HYPERLINK("https://klasma.github.io/Logging_1415/klagomål/A 1291-2025 FSC-klagomål.docx", "A 1291-2025")</f>
        <v/>
      </c>
      <c r="Z4">
        <f>HYPERLINK("https://klasma.github.io/Logging_1415/klagomålsmail/A 1291-2025 FSC-klagomål mail.docx", "A 1291-2025")</f>
        <v/>
      </c>
      <c r="AA4">
        <f>HYPERLINK("https://klasma.github.io/Logging_1415/tillsyn/A 1291-2025 tillsynsbegäran.docx", "A 1291-2025")</f>
        <v/>
      </c>
      <c r="AB4">
        <f>HYPERLINK("https://klasma.github.io/Logging_1415/tillsynsmail/A 1291-2025 tillsynsbegäran mail.docx", "A 1291-2025")</f>
        <v/>
      </c>
      <c r="AC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46218</v>
      </c>
      <c r="F5" t="inlineStr">
        <is>
          <t>VÄSTRA GÖTALANDS LÄN</t>
        </is>
      </c>
      <c r="G5" t="inlineStr">
        <is>
          <t>STENUNGSUND</t>
        </is>
      </c>
      <c r="I5" t="n">
        <v>6.4</v>
      </c>
      <c r="J5" t="n">
        <v>3</v>
      </c>
      <c r="K5" t="n">
        <v>2</v>
      </c>
      <c r="L5" t="n">
        <v>2</v>
      </c>
      <c r="M5" t="n">
        <v>0</v>
      </c>
      <c r="N5" t="n">
        <v>0</v>
      </c>
      <c r="O5" t="n">
        <v>0</v>
      </c>
      <c r="P5" t="n">
        <v>0</v>
      </c>
      <c r="Q5" t="n">
        <v>2</v>
      </c>
      <c r="R5" t="n">
        <v>0</v>
      </c>
      <c r="S5" t="n">
        <v>6</v>
      </c>
      <c r="T5" t="n">
        <v>25</v>
      </c>
      <c r="U5" s="2" t="inlineStr">
        <is>
          <t>Talltita
Älg
Blåmossa
Stor revmossa
Spillkråka
Tjäder</t>
        </is>
      </c>
      <c r="V5">
        <f>HYPERLINK("https://klasma.github.io/Logging_1415/artfynd/A 13912-2025 artfynd.xlsx", "A 13912-2025")</f>
        <v/>
      </c>
      <c r="W5">
        <f>HYPERLINK("https://klasma.github.io/Logging_1415/kartor/A 13912-2025 karta.png", "A 13912-2025")</f>
        <v/>
      </c>
      <c r="Y5">
        <f>HYPERLINK("https://klasma.github.io/Logging_1415/klagomål/A 13912-2025 FSC-klagomål.docx", "A 13912-2025")</f>
        <v/>
      </c>
      <c r="Z5">
        <f>HYPERLINK("https://klasma.github.io/Logging_1415/klagomålsmail/A 13912-2025 FSC-klagomål mail.docx", "A 13912-2025")</f>
        <v/>
      </c>
      <c r="AA5">
        <f>HYPERLINK("https://klasma.github.io/Logging_1415/tillsyn/A 13912-2025 tillsynsbegäran.docx", "A 13912-2025")</f>
        <v/>
      </c>
      <c r="AB5">
        <f>HYPERLINK("https://klasma.github.io/Logging_1415/tillsynsmail/A 13912-2025 tillsynsbegäran mail.docx", "A 13912-2025")</f>
        <v/>
      </c>
      <c r="AC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46218</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s="2" t="inlineStr">
        <is>
          <t>Ask
Stor sotdyna
Rostfläck
Svartvit flugsnappare</t>
        </is>
      </c>
      <c r="V6">
        <f>HYPERLINK("https://klasma.github.io/Logging_1415/artfynd/A 20626-2026 artfynd.xlsx", "A 20626-2026")</f>
        <v/>
      </c>
      <c r="W6">
        <f>HYPERLINK("https://klasma.github.io/Logging_1415/kartor/A 20626-2026 karta.png", "A 20626-2026")</f>
        <v/>
      </c>
      <c r="Y6">
        <f>HYPERLINK("https://klasma.github.io/Logging_1415/klagomål/A 20626-2026 FSC-klagomål.docx", "A 20626-2026")</f>
        <v/>
      </c>
      <c r="Z6">
        <f>HYPERLINK("https://klasma.github.io/Logging_1415/klagomålsmail/A 20626-2026 FSC-klagomål mail.docx", "A 20626-2026")</f>
        <v/>
      </c>
      <c r="AA6">
        <f>HYPERLINK("https://klasma.github.io/Logging_1415/tillsyn/A 20626-2026 tillsynsbegäran.docx", "A 20626-2026")</f>
        <v/>
      </c>
      <c r="AB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46218</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s="2" t="inlineStr">
        <is>
          <t>Mattlummer
Lopplummer (aggregat)
Revlummer</t>
        </is>
      </c>
      <c r="V7">
        <f>HYPERLINK("https://klasma.github.io/Logging_1415/artfynd/A 44272-2024 artfynd.xlsx", "A 44272-2024")</f>
        <v/>
      </c>
      <c r="W7">
        <f>HYPERLINK("https://klasma.github.io/Logging_1415/kartor/A 44272-2024 karta.png", "A 44272-2024")</f>
        <v/>
      </c>
      <c r="Y7">
        <f>HYPERLINK("https://klasma.github.io/Logging_1415/klagomål/A 44272-2024 FSC-klagomål.docx", "A 44272-2024")</f>
        <v/>
      </c>
      <c r="Z7">
        <f>HYPERLINK("https://klasma.github.io/Logging_1415/klagomålsmail/A 44272-2024 FSC-klagomål mail.docx", "A 44272-2024")</f>
        <v/>
      </c>
      <c r="AA7">
        <f>HYPERLINK("https://klasma.github.io/Logging_1415/tillsyn/A 44272-2024 tillsynsbegäran.docx", "A 44272-2024")</f>
        <v/>
      </c>
      <c r="AB7">
        <f>HYPERLINK("https://klasma.github.io/Logging_1415/tillsynsmail/A 44272-2024 tillsynsbegäran mail.docx", "A 44272-2024")</f>
        <v/>
      </c>
    </row>
    <row r="8" ht="15" customHeight="1">
      <c r="A8" t="inlineStr">
        <is>
          <t>A 11794-2025</t>
        </is>
      </c>
      <c r="B8" t="inlineStr">
        <is>
          <t>avverkningsanmälan</t>
        </is>
      </c>
      <c r="C8" t="inlineStr">
        <is>
          <t>Avverkning för annat ändamål</t>
        </is>
      </c>
      <c r="D8" s="1" t="n">
        <v>45727</v>
      </c>
      <c r="E8" s="1" t="n">
        <v>46218</v>
      </c>
      <c r="F8" t="inlineStr">
        <is>
          <t>VÄSTRA GÖTALANDS LÄN</t>
        </is>
      </c>
      <c r="G8" t="inlineStr">
        <is>
          <t>STENUNGSUND</t>
        </is>
      </c>
      <c r="I8" t="n">
        <v>2.5</v>
      </c>
      <c r="J8" t="n">
        <v>2</v>
      </c>
      <c r="K8" t="n">
        <v>0</v>
      </c>
      <c r="L8" t="n">
        <v>1</v>
      </c>
      <c r="M8" t="n">
        <v>0</v>
      </c>
      <c r="N8" t="n">
        <v>0</v>
      </c>
      <c r="O8" t="n">
        <v>0</v>
      </c>
      <c r="P8" t="n">
        <v>0</v>
      </c>
      <c r="Q8" t="n">
        <v>1</v>
      </c>
      <c r="R8" t="n">
        <v>0</v>
      </c>
      <c r="S8" t="n">
        <v>3</v>
      </c>
      <c r="T8" t="n">
        <v>5</v>
      </c>
      <c r="U8" s="2" t="inlineStr">
        <is>
          <t>Tallticka
Vanlig groda
Revlummer</t>
        </is>
      </c>
      <c r="V8">
        <f>HYPERLINK("https://klasma.github.io/Logging_1415/artfynd/A 11794-2025 artfynd.xlsx", "A 11794-2025")</f>
        <v/>
      </c>
      <c r="W8">
        <f>HYPERLINK("https://klasma.github.io/Logging_1415/kartor/A 11794-2025 karta.png", "A 11794-2025")</f>
        <v/>
      </c>
      <c r="Y8">
        <f>HYPERLINK("https://klasma.github.io/Logging_1415/klagomål/A 11794-2025 FSC-klagomål.docx", "A 11794-2025")</f>
        <v/>
      </c>
      <c r="Z8">
        <f>HYPERLINK("https://klasma.github.io/Logging_1415/klagomålsmail/A 11794-2025 FSC-klagomål mail.docx", "A 11794-2025")</f>
        <v/>
      </c>
      <c r="AA8">
        <f>HYPERLINK("https://klasma.github.io/Logging_1415/tillsyn/A 11794-2025 tillsynsbegäran.docx", "A 11794-2025")</f>
        <v/>
      </c>
      <c r="AB8">
        <f>HYPERLINK("https://klasma.github.io/Logging_1415/tillsynsmail/A 11794-2025 tillsynsbegäran mail.docx", "A 11794-2025")</f>
        <v/>
      </c>
    </row>
    <row r="9" ht="15" customHeight="1">
      <c r="A9" t="inlineStr">
        <is>
          <t>A 4771-2026</t>
        </is>
      </c>
      <c r="B9" t="inlineStr">
        <is>
          <t>avverkningsanmälan</t>
        </is>
      </c>
      <c r="C9" t="inlineStr">
        <is>
          <t>Föryngringsavverkning</t>
        </is>
      </c>
      <c r="D9" s="1" t="n">
        <v>46048</v>
      </c>
      <c r="E9" s="1" t="n">
        <v>46218</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s="2" t="inlineStr">
        <is>
          <t>Skogsalm
Kungsfågel
Ärtsångare</t>
        </is>
      </c>
      <c r="V9">
        <f>HYPERLINK("https://klasma.github.io/Logging_1415/artfynd/A 4771-2026 artfynd.xlsx", "A 4771-2026")</f>
        <v/>
      </c>
      <c r="W9">
        <f>HYPERLINK("https://klasma.github.io/Logging_1415/kartor/A 4771-2026 karta.png", "A 4771-2026")</f>
        <v/>
      </c>
      <c r="Y9">
        <f>HYPERLINK("https://klasma.github.io/Logging_1415/klagomål/A 4771-2026 FSC-klagomål.docx", "A 4771-2026")</f>
        <v/>
      </c>
      <c r="Z9">
        <f>HYPERLINK("https://klasma.github.io/Logging_1415/klagomålsmail/A 4771-2026 FSC-klagomål mail.docx", "A 4771-2026")</f>
        <v/>
      </c>
      <c r="AA9">
        <f>HYPERLINK("https://klasma.github.io/Logging_1415/tillsyn/A 4771-2026 tillsynsbegäran.docx", "A 4771-2026")</f>
        <v/>
      </c>
      <c r="AB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46218</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s="2" t="inlineStr">
        <is>
          <t>Nordfladdermus
Dvärgpipistrell
Större brunfladdermus</t>
        </is>
      </c>
      <c r="V10">
        <f>HYPERLINK("https://klasma.github.io/Logging_1415/artfynd/S 3660-2024 artfynd.xlsx", "S 3660-2024")</f>
        <v/>
      </c>
      <c r="W10">
        <f>HYPERLINK("https://klasma.github.io/Logging_1415/kartor/S 3660-2024 karta.png", "S 3660-2024")</f>
        <v/>
      </c>
      <c r="Y10">
        <f>HYPERLINK("https://klasma.github.io/Logging_1415/klagomål/S 3660-2024 FSC-klagomål.docx", "S 3660-2024")</f>
        <v/>
      </c>
      <c r="Z10">
        <f>HYPERLINK("https://klasma.github.io/Logging_1415/klagomålsmail/S 3660-2024 FSC-klagomål mail.docx", "S 3660-2024")</f>
        <v/>
      </c>
      <c r="AA10">
        <f>HYPERLINK("https://klasma.github.io/Logging_1415/tillsyn/S 3660-2024 tillsynsbegäran.docx", "S 3660-2024")</f>
        <v/>
      </c>
      <c r="AB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46218</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s="2" t="inlineStr">
        <is>
          <t>Mindre hackspett
Blåmossa</t>
        </is>
      </c>
      <c r="V11">
        <f>HYPERLINK("https://klasma.github.io/Logging_1415/artfynd/A 60706-2023 artfynd.xlsx", "A 60706-2023")</f>
        <v/>
      </c>
      <c r="W11">
        <f>HYPERLINK("https://klasma.github.io/Logging_1415/kartor/A 60706-2023 karta.png", "A 60706-2023")</f>
        <v/>
      </c>
      <c r="Y11">
        <f>HYPERLINK("https://klasma.github.io/Logging_1415/klagomål/A 60706-2023 FSC-klagomål.docx", "A 60706-2023")</f>
        <v/>
      </c>
      <c r="Z11">
        <f>HYPERLINK("https://klasma.github.io/Logging_1415/klagomålsmail/A 60706-2023 FSC-klagomål mail.docx", "A 60706-2023")</f>
        <v/>
      </c>
      <c r="AA11">
        <f>HYPERLINK("https://klasma.github.io/Logging_1415/tillsyn/A 60706-2023 tillsynsbegäran.docx", "A 60706-2023")</f>
        <v/>
      </c>
      <c r="AB11">
        <f>HYPERLINK("https://klasma.github.io/Logging_1415/tillsynsmail/A 60706-2023 tillsynsbegäran mail.docx", "A 60706-2023")</f>
        <v/>
      </c>
      <c r="AC11">
        <f>HYPERLINK("https://klasma.github.io/Logging_1415/fåglar/A 60706-2023 prioriterade fågelarter.docx", "A 60706-2023")</f>
        <v/>
      </c>
    </row>
    <row r="12" ht="15" customHeight="1">
      <c r="A12" t="inlineStr">
        <is>
          <t>A 50295-2024</t>
        </is>
      </c>
      <c r="B12" t="inlineStr">
        <is>
          <t>avverkningsanmälan</t>
        </is>
      </c>
      <c r="C12" t="inlineStr">
        <is>
          <t>Föryngringsavverkning</t>
        </is>
      </c>
      <c r="D12" s="1" t="n">
        <v>45600</v>
      </c>
      <c r="E12" s="1" t="n">
        <v>46218</v>
      </c>
      <c r="F12" t="inlineStr">
        <is>
          <t>VÄSTRA GÖTALANDS LÄN</t>
        </is>
      </c>
      <c r="G12" t="inlineStr">
        <is>
          <t>STENUNGSUND</t>
        </is>
      </c>
      <c r="I12" t="n">
        <v>2</v>
      </c>
      <c r="J12" t="n">
        <v>2</v>
      </c>
      <c r="K12" t="n">
        <v>0</v>
      </c>
      <c r="L12" t="n">
        <v>0</v>
      </c>
      <c r="M12" t="n">
        <v>0</v>
      </c>
      <c r="N12" t="n">
        <v>0</v>
      </c>
      <c r="O12" t="n">
        <v>0</v>
      </c>
      <c r="P12" t="n">
        <v>0</v>
      </c>
      <c r="Q12" t="n">
        <v>0</v>
      </c>
      <c r="R12" t="n">
        <v>0</v>
      </c>
      <c r="S12" t="n">
        <v>2</v>
      </c>
      <c r="T12" t="n">
        <v>3</v>
      </c>
      <c r="U12" s="2" t="inlineStr">
        <is>
          <t>Lopplummer (aggregat)
Revlummer</t>
        </is>
      </c>
      <c r="V12">
        <f>HYPERLINK("https://klasma.github.io/Logging_1415/artfynd/A 50295-2024 artfynd.xlsx", "A 50295-2024")</f>
        <v/>
      </c>
      <c r="W12">
        <f>HYPERLINK("https://klasma.github.io/Logging_1415/kartor/A 50295-2024 karta.png", "A 50295-2024")</f>
        <v/>
      </c>
      <c r="Y12">
        <f>HYPERLINK("https://klasma.github.io/Logging_1415/klagomål/A 50295-2024 FSC-klagomål.docx", "A 50295-2024")</f>
        <v/>
      </c>
      <c r="Z12">
        <f>HYPERLINK("https://klasma.github.io/Logging_1415/klagomålsmail/A 50295-2024 FSC-klagomål mail.docx", "A 50295-2024")</f>
        <v/>
      </c>
      <c r="AA12">
        <f>HYPERLINK("https://klasma.github.io/Logging_1415/tillsyn/A 50295-2024 tillsynsbegäran.docx", "A 50295-2024")</f>
        <v/>
      </c>
      <c r="AB12">
        <f>HYPERLINK("https://klasma.github.io/Logging_1415/tillsynsmail/A 50295-2024 tillsynsbegäran mail.docx", "A 50295-2024")</f>
        <v/>
      </c>
    </row>
    <row r="13" ht="15" customHeight="1">
      <c r="A13" t="inlineStr">
        <is>
          <t>A 4765-2026</t>
        </is>
      </c>
      <c r="B13" t="inlineStr">
        <is>
          <t>avverkningsanmälan</t>
        </is>
      </c>
      <c r="C13" t="inlineStr">
        <is>
          <t>Föryngringsavverkning</t>
        </is>
      </c>
      <c r="D13" s="1" t="n">
        <v>46048</v>
      </c>
      <c r="E13" s="1" t="n">
        <v>46218</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s="2" t="inlineStr">
        <is>
          <t>Grönfink
Ärtsångare</t>
        </is>
      </c>
      <c r="V13">
        <f>HYPERLINK("https://klasma.github.io/Logging_1415/artfynd/A 4765-2026 artfynd.xlsx", "A 4765-2026")</f>
        <v/>
      </c>
      <c r="W13">
        <f>HYPERLINK("https://klasma.github.io/Logging_1415/kartor/A 4765-2026 karta.png", "A 4765-2026")</f>
        <v/>
      </c>
      <c r="Y13">
        <f>HYPERLINK("https://klasma.github.io/Logging_1415/klagomål/A 4765-2026 FSC-klagomål.docx", "A 4765-2026")</f>
        <v/>
      </c>
      <c r="Z13">
        <f>HYPERLINK("https://klasma.github.io/Logging_1415/klagomålsmail/A 4765-2026 FSC-klagomål mail.docx", "A 4765-2026")</f>
        <v/>
      </c>
      <c r="AA13">
        <f>HYPERLINK("https://klasma.github.io/Logging_1415/tillsyn/A 4765-2026 tillsynsbegäran.docx", "A 4765-2026")</f>
        <v/>
      </c>
      <c r="AB13">
        <f>HYPERLINK("https://klasma.github.io/Logging_1415/tillsynsmail/A 4765-2026 tillsynsbegäran mail.docx", "A 4765-2026")</f>
        <v/>
      </c>
      <c r="AC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46218</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s="2" t="inlineStr">
        <is>
          <t>Öring</t>
        </is>
      </c>
      <c r="V14">
        <f>HYPERLINK("https://klasma.github.io/Logging_1415/artfynd/A 6293-2022 artfynd.xlsx", "A 6293-2022")</f>
        <v/>
      </c>
      <c r="W14">
        <f>HYPERLINK("https://klasma.github.io/Logging_1415/kartor/A 6293-2022 karta.png", "A 6293-2022")</f>
        <v/>
      </c>
      <c r="Y14">
        <f>HYPERLINK("https://klasma.github.io/Logging_1415/klagomål/A 6293-2022 FSC-klagomål.docx", "A 6293-2022")</f>
        <v/>
      </c>
      <c r="Z14">
        <f>HYPERLINK("https://klasma.github.io/Logging_1415/klagomålsmail/A 6293-2022 FSC-klagomål mail.docx", "A 6293-2022")</f>
        <v/>
      </c>
      <c r="AA14">
        <f>HYPERLINK("https://klasma.github.io/Logging_1415/tillsyn/A 6293-2022 tillsynsbegäran.docx", "A 6293-2022")</f>
        <v/>
      </c>
      <c r="AB14">
        <f>HYPERLINK("https://klasma.github.io/Logging_1415/tillsynsmail/A 6293-2022 tillsynsbegäran mail.docx", "A 6293-2022")</f>
        <v/>
      </c>
    </row>
    <row r="15" ht="15" customHeight="1">
      <c r="A15" t="inlineStr">
        <is>
          <t>A 12075-2022</t>
        </is>
      </c>
      <c r="B15" t="inlineStr">
        <is>
          <t>avverkningsanmälan</t>
        </is>
      </c>
      <c r="C15" t="inlineStr">
        <is>
          <t>Föryngringsavverkning</t>
        </is>
      </c>
      <c r="D15" s="1" t="n">
        <v>44636</v>
      </c>
      <c r="E15" s="1" t="n">
        <v>46218</v>
      </c>
      <c r="F15" t="inlineStr">
        <is>
          <t>VÄSTRA GÖTALANDS LÄN</t>
        </is>
      </c>
      <c r="G15" t="inlineStr">
        <is>
          <t>STENUNGSUND</t>
        </is>
      </c>
      <c r="I15" t="n">
        <v>7.5</v>
      </c>
      <c r="J15" t="n">
        <v>1</v>
      </c>
      <c r="K15" t="n">
        <v>0</v>
      </c>
      <c r="L15" t="n">
        <v>0</v>
      </c>
      <c r="M15" t="n">
        <v>1</v>
      </c>
      <c r="N15" t="n">
        <v>0</v>
      </c>
      <c r="O15" t="n">
        <v>0</v>
      </c>
      <c r="P15" t="n">
        <v>0</v>
      </c>
      <c r="Q15" t="n">
        <v>1</v>
      </c>
      <c r="R15" t="n">
        <v>1</v>
      </c>
      <c r="S15" t="n">
        <v>1</v>
      </c>
      <c r="T15" t="n">
        <v>1</v>
      </c>
      <c r="U15" s="2" t="inlineStr">
        <is>
          <t>Bredgentiana</t>
        </is>
      </c>
      <c r="V15">
        <f>HYPERLINK("https://klasma.github.io/Logging_1415/artfynd/A 12075-2022 artfynd.xlsx", "A 12075-2022")</f>
        <v/>
      </c>
      <c r="W15">
        <f>HYPERLINK("https://klasma.github.io/Logging_1415/kartor/A 12075-2022 karta.png", "A 12075-2022")</f>
        <v/>
      </c>
      <c r="Y15">
        <f>HYPERLINK("https://klasma.github.io/Logging_1415/klagomål/A 12075-2022 FSC-klagomål.docx", "A 12075-2022")</f>
        <v/>
      </c>
      <c r="Z15">
        <f>HYPERLINK("https://klasma.github.io/Logging_1415/klagomålsmail/A 12075-2022 FSC-klagomål mail.docx", "A 12075-2022")</f>
        <v/>
      </c>
      <c r="AA15">
        <f>HYPERLINK("https://klasma.github.io/Logging_1415/tillsyn/A 12075-2022 tillsynsbegäran.docx", "A 12075-2022")</f>
        <v/>
      </c>
      <c r="AB15">
        <f>HYPERLINK("https://klasma.github.io/Logging_1415/tillsynsmail/A 12075-2022 tillsynsbegäran mail.docx", "A 12075-2022")</f>
        <v/>
      </c>
    </row>
    <row r="16" ht="15" customHeight="1">
      <c r="A16" t="inlineStr">
        <is>
          <t>A 53156-2021</t>
        </is>
      </c>
      <c r="B16" t="inlineStr">
        <is>
          <t>avverkningsanmälan</t>
        </is>
      </c>
      <c r="C16" t="inlineStr">
        <is>
          <t>Föryngringsavverkning</t>
        </is>
      </c>
      <c r="D16" s="1" t="n">
        <v>44468</v>
      </c>
      <c r="E16" s="1" t="n">
        <v>46218</v>
      </c>
      <c r="F16" t="inlineStr">
        <is>
          <t>VÄSTRA GÖTALANDS LÄN</t>
        </is>
      </c>
      <c r="G16" t="inlineStr">
        <is>
          <t>STENUNGSUND</t>
        </is>
      </c>
      <c r="I16" t="n">
        <v>10.4</v>
      </c>
      <c r="J16" t="n">
        <v>1</v>
      </c>
      <c r="K16" t="n">
        <v>0</v>
      </c>
      <c r="L16" t="n">
        <v>0</v>
      </c>
      <c r="M16" t="n">
        <v>1</v>
      </c>
      <c r="N16" t="n">
        <v>0</v>
      </c>
      <c r="O16" t="n">
        <v>0</v>
      </c>
      <c r="P16" t="n">
        <v>0</v>
      </c>
      <c r="Q16" t="n">
        <v>1</v>
      </c>
      <c r="R16" t="n">
        <v>1</v>
      </c>
      <c r="S16" t="n">
        <v>1</v>
      </c>
      <c r="T16" t="n">
        <v>1</v>
      </c>
      <c r="U16" s="2" t="inlineStr">
        <is>
          <t>Knärot</t>
        </is>
      </c>
      <c r="V16">
        <f>HYPERLINK("https://klasma.github.io/Logging_1415/artfynd/A 53156-2021 artfynd.xlsx", "A 53156-2021")</f>
        <v/>
      </c>
      <c r="W16">
        <f>HYPERLINK("https://klasma.github.io/Logging_1415/kartor/A 53156-2021 karta.png", "A 53156-2021")</f>
        <v/>
      </c>
      <c r="X16">
        <f>HYPERLINK("https://klasma.github.io/Logging_1415/knärot/A 53156-2021 karta knärot.png", "A 53156-2021")</f>
        <v/>
      </c>
      <c r="Y16">
        <f>HYPERLINK("https://klasma.github.io/Logging_1415/klagomål/A 53156-2021 FSC-klagomål.docx", "A 53156-2021")</f>
        <v/>
      </c>
      <c r="Z16">
        <f>HYPERLINK("https://klasma.github.io/Logging_1415/klagomålsmail/A 53156-2021 FSC-klagomål mail.docx", "A 53156-2021")</f>
        <v/>
      </c>
      <c r="AA16">
        <f>HYPERLINK("https://klasma.github.io/Logging_1415/tillsyn/A 53156-2021 tillsynsbegäran.docx", "A 53156-2021")</f>
        <v/>
      </c>
      <c r="AB16">
        <f>HYPERLINK("https://klasma.github.io/Logging_1415/tillsynsmail/A 53156-2021 tillsynsbegäran mail.docx", "A 53156-2021")</f>
        <v/>
      </c>
    </row>
    <row r="17" ht="15" customHeight="1">
      <c r="A17" t="inlineStr">
        <is>
          <t>A 50508-2025</t>
        </is>
      </c>
      <c r="B17" t="inlineStr">
        <is>
          <t>avverkningsanmälan</t>
        </is>
      </c>
      <c r="C17" t="inlineStr">
        <is>
          <t>Föryngringsavverkning</t>
        </is>
      </c>
      <c r="D17" s="1" t="n">
        <v>45945</v>
      </c>
      <c r="E17" s="1" t="n">
        <v>46218</v>
      </c>
      <c r="F17" t="inlineStr">
        <is>
          <t>VÄSTRA GÖTALANDS LÄN</t>
        </is>
      </c>
      <c r="G17" t="inlineStr">
        <is>
          <t>STENUNGSUND</t>
        </is>
      </c>
      <c r="I17" t="n">
        <v>3.6</v>
      </c>
      <c r="J17" t="n">
        <v>1</v>
      </c>
      <c r="K17" t="n">
        <v>0</v>
      </c>
      <c r="L17" t="n">
        <v>0</v>
      </c>
      <c r="M17" t="n">
        <v>0</v>
      </c>
      <c r="N17" t="n">
        <v>0</v>
      </c>
      <c r="O17" t="n">
        <v>0</v>
      </c>
      <c r="P17" t="n">
        <v>0</v>
      </c>
      <c r="Q17" t="n">
        <v>0</v>
      </c>
      <c r="R17" t="n">
        <v>0</v>
      </c>
      <c r="S17" t="n">
        <v>1</v>
      </c>
      <c r="T17" t="n">
        <v>1</v>
      </c>
      <c r="U17" s="2" t="inlineStr">
        <is>
          <t>Skogsduva</t>
        </is>
      </c>
      <c r="V17">
        <f>HYPERLINK("https://klasma.github.io/Logging_1415/artfynd/A 50508-2025 artfynd.xlsx", "A 50508-2025")</f>
        <v/>
      </c>
      <c r="W17">
        <f>HYPERLINK("https://klasma.github.io/Logging_1415/kartor/A 50508-2025 karta.png", "A 50508-2025")</f>
        <v/>
      </c>
      <c r="Y17">
        <f>HYPERLINK("https://klasma.github.io/Logging_1415/klagomål/A 50508-2025 FSC-klagomål.docx", "A 50508-2025")</f>
        <v/>
      </c>
      <c r="Z17">
        <f>HYPERLINK("https://klasma.github.io/Logging_1415/klagomålsmail/A 50508-2025 FSC-klagomål mail.docx", "A 50508-2025")</f>
        <v/>
      </c>
      <c r="AA17">
        <f>HYPERLINK("https://klasma.github.io/Logging_1415/tillsyn/A 50508-2025 tillsynsbegäran.docx", "A 50508-2025")</f>
        <v/>
      </c>
      <c r="AB17">
        <f>HYPERLINK("https://klasma.github.io/Logging_1415/tillsynsmail/A 50508-2025 tillsynsbegäran mail.docx", "A 50508-2025")</f>
        <v/>
      </c>
    </row>
    <row r="18" ht="15" customHeight="1">
      <c r="A18" t="inlineStr">
        <is>
          <t>A 8576-2023</t>
        </is>
      </c>
      <c r="B18" t="inlineStr">
        <is>
          <t>avverkningsanmälan</t>
        </is>
      </c>
      <c r="C18" t="inlineStr">
        <is>
          <t>Föryngringsavverkning</t>
        </is>
      </c>
      <c r="D18" s="1" t="n">
        <v>44977</v>
      </c>
      <c r="E18" s="1" t="n">
        <v>46218</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s="2" t="inlineStr">
        <is>
          <t>Kungsfågel</t>
        </is>
      </c>
      <c r="V18">
        <f>HYPERLINK("https://klasma.github.io/Logging_1415/artfynd/A 8576-2023 artfynd.xlsx", "A 8576-2023")</f>
        <v/>
      </c>
      <c r="W18">
        <f>HYPERLINK("https://klasma.github.io/Logging_1415/kartor/A 8576-2023 karta.png", "A 8576-2023")</f>
        <v/>
      </c>
      <c r="Y18">
        <f>HYPERLINK("https://klasma.github.io/Logging_1415/klagomål/A 8576-2023 FSC-klagomål.docx", "A 8576-2023")</f>
        <v/>
      </c>
      <c r="Z18">
        <f>HYPERLINK("https://klasma.github.io/Logging_1415/klagomålsmail/A 8576-2023 FSC-klagomål mail.docx", "A 8576-2023")</f>
        <v/>
      </c>
      <c r="AA18">
        <f>HYPERLINK("https://klasma.github.io/Logging_1415/tillsyn/A 8576-2023 tillsynsbegäran.docx", "A 8576-2023")</f>
        <v/>
      </c>
      <c r="AB18">
        <f>HYPERLINK("https://klasma.github.io/Logging_1415/tillsynsmail/A 8576-2023 tillsynsbegäran mail.docx", "A 8576-2023")</f>
        <v/>
      </c>
    </row>
    <row r="19" ht="15" customHeight="1">
      <c r="A19" t="inlineStr">
        <is>
          <t>A 6147-2022</t>
        </is>
      </c>
      <c r="B19" t="inlineStr">
        <is>
          <t>avverkningsanmälan</t>
        </is>
      </c>
      <c r="C19" t="inlineStr">
        <is>
          <t>Föryngringsavverkning</t>
        </is>
      </c>
      <c r="D19" s="1" t="n">
        <v>44599</v>
      </c>
      <c r="E19" s="1" t="n">
        <v>46218</v>
      </c>
      <c r="F19" t="inlineStr">
        <is>
          <t>VÄSTRA GÖTALANDS LÄN</t>
        </is>
      </c>
      <c r="G19" t="inlineStr">
        <is>
          <t>STENUNGSUND</t>
        </is>
      </c>
      <c r="I19" t="n">
        <v>2.2</v>
      </c>
      <c r="J19" t="n">
        <v>0</v>
      </c>
      <c r="K19" t="n">
        <v>0</v>
      </c>
      <c r="L19" t="n">
        <v>0</v>
      </c>
      <c r="M19" t="n">
        <v>1</v>
      </c>
      <c r="N19" t="n">
        <v>0</v>
      </c>
      <c r="O19" t="n">
        <v>0</v>
      </c>
      <c r="P19" t="n">
        <v>0</v>
      </c>
      <c r="Q19" t="n">
        <v>1</v>
      </c>
      <c r="R19" t="n">
        <v>1</v>
      </c>
      <c r="S19" t="n">
        <v>1</v>
      </c>
      <c r="T19" t="n">
        <v>1</v>
      </c>
      <c r="U19" s="2" t="inlineStr">
        <is>
          <t>Brunfläckig pärlemorfjäril</t>
        </is>
      </c>
      <c r="V19">
        <f>HYPERLINK("https://klasma.github.io/Logging_1415/artfynd/A 6147-2022 artfynd.xlsx", "A 6147-2022")</f>
        <v/>
      </c>
      <c r="W19">
        <f>HYPERLINK("https://klasma.github.io/Logging_1415/kartor/A 6147-2022 karta.png", "A 6147-2022")</f>
        <v/>
      </c>
      <c r="Y19">
        <f>HYPERLINK("https://klasma.github.io/Logging_1415/klagomål/A 6147-2022 FSC-klagomål.docx", "A 6147-2022")</f>
        <v/>
      </c>
      <c r="Z19">
        <f>HYPERLINK("https://klasma.github.io/Logging_1415/klagomålsmail/A 6147-2022 FSC-klagomål mail.docx", "A 6147-2022")</f>
        <v/>
      </c>
      <c r="AA19">
        <f>HYPERLINK("https://klasma.github.io/Logging_1415/tillsyn/A 6147-2022 tillsynsbegäran.docx", "A 6147-2022")</f>
        <v/>
      </c>
      <c r="AB19">
        <f>HYPERLINK("https://klasma.github.io/Logging_1415/tillsynsmail/A 6147-2022 tillsynsbegäran mail.docx", "A 6147-2022")</f>
        <v/>
      </c>
    </row>
    <row r="20" ht="15" customHeight="1">
      <c r="A20" t="inlineStr">
        <is>
          <t>A 54611-2025</t>
        </is>
      </c>
      <c r="B20" t="inlineStr">
        <is>
          <t>avverkningsanmälan</t>
        </is>
      </c>
      <c r="C20" t="inlineStr">
        <is>
          <t>Föryngringsavverkning</t>
        </is>
      </c>
      <c r="D20" s="1" t="n">
        <v>45966</v>
      </c>
      <c r="E20" s="1" t="n">
        <v>46218</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s="2" t="inlineStr">
        <is>
          <t>Blåmossa</t>
        </is>
      </c>
      <c r="V20">
        <f>HYPERLINK("https://klasma.github.io/Logging_1415/artfynd/A 54611-2025 artfynd.xlsx", "A 54611-2025")</f>
        <v/>
      </c>
      <c r="W20">
        <f>HYPERLINK("https://klasma.github.io/Logging_1415/kartor/A 54611-2025 karta.png", "A 54611-2025")</f>
        <v/>
      </c>
      <c r="Y20">
        <f>HYPERLINK("https://klasma.github.io/Logging_1415/klagomål/A 54611-2025 FSC-klagomål.docx", "A 54611-2025")</f>
        <v/>
      </c>
      <c r="Z20">
        <f>HYPERLINK("https://klasma.github.io/Logging_1415/klagomålsmail/A 54611-2025 FSC-klagomål mail.docx", "A 54611-2025")</f>
        <v/>
      </c>
      <c r="AA20">
        <f>HYPERLINK("https://klasma.github.io/Logging_1415/tillsyn/A 54611-2025 tillsynsbegäran.docx", "A 54611-2025")</f>
        <v/>
      </c>
      <c r="AB20">
        <f>HYPERLINK("https://klasma.github.io/Logging_1415/tillsynsmail/A 54611-2025 tillsynsbegäran mail.docx", "A 54611-2025")</f>
        <v/>
      </c>
    </row>
    <row r="21" ht="15" customHeight="1">
      <c r="A21" t="inlineStr">
        <is>
          <t>A 37539-2025</t>
        </is>
      </c>
      <c r="B21" t="inlineStr">
        <is>
          <t>avverkningsanmälan</t>
        </is>
      </c>
      <c r="C21" t="inlineStr">
        <is>
          <t>Föryngringsavverkning</t>
        </is>
      </c>
      <c r="D21" s="1" t="n">
        <v>45879</v>
      </c>
      <c r="E21" s="1" t="n">
        <v>46218</v>
      </c>
      <c r="F21" t="inlineStr">
        <is>
          <t>VÄSTRA GÖTALANDS LÄN</t>
        </is>
      </c>
      <c r="G21" t="inlineStr">
        <is>
          <t>STENUNGSUND</t>
        </is>
      </c>
      <c r="I21" t="n">
        <v>1.9</v>
      </c>
      <c r="J21" t="n">
        <v>0</v>
      </c>
      <c r="K21" t="n">
        <v>1</v>
      </c>
      <c r="L21" t="n">
        <v>0</v>
      </c>
      <c r="M21" t="n">
        <v>0</v>
      </c>
      <c r="N21" t="n">
        <v>0</v>
      </c>
      <c r="O21" t="n">
        <v>0</v>
      </c>
      <c r="P21" t="n">
        <v>0</v>
      </c>
      <c r="Q21" t="n">
        <v>0</v>
      </c>
      <c r="R21" t="n">
        <v>0</v>
      </c>
      <c r="S21" t="n">
        <v>1</v>
      </c>
      <c r="T21" t="n">
        <v>1</v>
      </c>
      <c r="U21" s="2" t="inlineStr">
        <is>
          <t>Murgröna</t>
        </is>
      </c>
      <c r="V21">
        <f>HYPERLINK("https://klasma.github.io/Logging_1415/artfynd/A 37539-2025 artfynd.xlsx", "A 37539-2025")</f>
        <v/>
      </c>
      <c r="W21">
        <f>HYPERLINK("https://klasma.github.io/Logging_1415/kartor/A 37539-2025 karta.png", "A 37539-2025")</f>
        <v/>
      </c>
      <c r="Y21">
        <f>HYPERLINK("https://klasma.github.io/Logging_1415/klagomål/A 37539-2025 FSC-klagomål.docx", "A 37539-2025")</f>
        <v/>
      </c>
      <c r="Z21">
        <f>HYPERLINK("https://klasma.github.io/Logging_1415/klagomålsmail/A 37539-2025 FSC-klagomål mail.docx", "A 37539-2025")</f>
        <v/>
      </c>
      <c r="AA21">
        <f>HYPERLINK("https://klasma.github.io/Logging_1415/tillsyn/A 37539-2025 tillsynsbegäran.docx", "A 37539-2025")</f>
        <v/>
      </c>
      <c r="AB21">
        <f>HYPERLINK("https://klasma.github.io/Logging_1415/tillsynsmail/A 37539-2025 tillsynsbegäran mail.docx", "A 37539-2025")</f>
        <v/>
      </c>
    </row>
    <row r="22" ht="15" customHeight="1">
      <c r="A22" t="inlineStr">
        <is>
          <t>A 4769-2026</t>
        </is>
      </c>
      <c r="B22" t="inlineStr">
        <is>
          <t>avverkningsanmälan</t>
        </is>
      </c>
      <c r="C22" t="inlineStr">
        <is>
          <t>Föryngringsavverkning</t>
        </is>
      </c>
      <c r="D22" s="1" t="n">
        <v>46048</v>
      </c>
      <c r="E22" s="1" t="n">
        <v>46218</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s="2" t="inlineStr">
        <is>
          <t>Kråka</t>
        </is>
      </c>
      <c r="V22">
        <f>HYPERLINK("https://klasma.github.io/Logging_1415/artfynd/A 4769-2026 artfynd.xlsx", "A 4769-2026")</f>
        <v/>
      </c>
      <c r="W22">
        <f>HYPERLINK("https://klasma.github.io/Logging_1415/kartor/A 4769-2026 karta.png", "A 4769-2026")</f>
        <v/>
      </c>
      <c r="Y22">
        <f>HYPERLINK("https://klasma.github.io/Logging_1415/klagomål/A 4769-2026 FSC-klagomål.docx", "A 4769-2026")</f>
        <v/>
      </c>
      <c r="Z22">
        <f>HYPERLINK("https://klasma.github.io/Logging_1415/klagomålsmail/A 4769-2026 FSC-klagomål mail.docx", "A 4769-2026")</f>
        <v/>
      </c>
      <c r="AA22">
        <f>HYPERLINK("https://klasma.github.io/Logging_1415/tillsyn/A 4769-2026 tillsynsbegäran.docx", "A 4769-2026")</f>
        <v/>
      </c>
      <c r="AB22">
        <f>HYPERLINK("https://klasma.github.io/Logging_1415/tillsynsmail/A 4769-2026 tillsynsbegäran mail.docx", "A 4769-2026")</f>
        <v/>
      </c>
    </row>
    <row r="23" ht="15" customHeight="1">
      <c r="A23" t="inlineStr">
        <is>
          <t>A 25125-2026</t>
        </is>
      </c>
      <c r="B23" t="inlineStr">
        <is>
          <t>avverkningsanmälan</t>
        </is>
      </c>
      <c r="C23" t="inlineStr">
        <is>
          <t>Föryngringsavverkning</t>
        </is>
      </c>
      <c r="D23" s="1" t="n">
        <v>46175</v>
      </c>
      <c r="E23" s="1" t="n">
        <v>46218</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s="2" t="inlineStr">
        <is>
          <t>Revlummer</t>
        </is>
      </c>
      <c r="V23">
        <f>HYPERLINK("https://klasma.github.io/Logging_1415/artfynd/A 25125-2026 artfynd.xlsx", "A 25125-2026")</f>
        <v/>
      </c>
      <c r="W23">
        <f>HYPERLINK("https://klasma.github.io/Logging_1415/kartor/A 25125-2026 karta.png", "A 25125-2026")</f>
        <v/>
      </c>
      <c r="Y23">
        <f>HYPERLINK("https://klasma.github.io/Logging_1415/klagomål/A 25125-2026 FSC-klagomål.docx", "A 25125-2026")</f>
        <v/>
      </c>
      <c r="Z23">
        <f>HYPERLINK("https://klasma.github.io/Logging_1415/klagomålsmail/A 25125-2026 FSC-klagomål mail.docx", "A 25125-2026")</f>
        <v/>
      </c>
      <c r="AA23">
        <f>HYPERLINK("https://klasma.github.io/Logging_1415/tillsyn/A 25125-2026 tillsynsbegäran.docx", "A 25125-2026")</f>
        <v/>
      </c>
      <c r="AB23">
        <f>HYPERLINK("https://klasma.github.io/Logging_1415/tillsynsmail/A 25125-2026 tillsynsbegäran mail.docx", "A 25125-2026")</f>
        <v/>
      </c>
    </row>
    <row r="24" ht="15" customHeight="1">
      <c r="A24" t="inlineStr">
        <is>
          <t>A 17346-2026</t>
        </is>
      </c>
      <c r="B24" t="inlineStr">
        <is>
          <t>avverkningsanmälan</t>
        </is>
      </c>
      <c r="C24" t="inlineStr">
        <is>
          <t>Föryngringsavverkning</t>
        </is>
      </c>
      <c r="D24" s="1" t="n">
        <v>46119</v>
      </c>
      <c r="E24" s="1" t="n">
        <v>46218</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s="2" t="inlineStr">
        <is>
          <t>Spillkråka</t>
        </is>
      </c>
      <c r="V24">
        <f>HYPERLINK("https://klasma.github.io/Logging_1415/artfynd/A 17346-2026 artfynd.xlsx", "A 17346-2026")</f>
        <v/>
      </c>
      <c r="W24">
        <f>HYPERLINK("https://klasma.github.io/Logging_1415/kartor/A 17346-2026 karta.png", "A 17346-2026")</f>
        <v/>
      </c>
      <c r="Y24">
        <f>HYPERLINK("https://klasma.github.io/Logging_1415/klagomål/A 17346-2026 FSC-klagomål.docx", "A 17346-2026")</f>
        <v/>
      </c>
      <c r="Z24">
        <f>HYPERLINK("https://klasma.github.io/Logging_1415/klagomålsmail/A 17346-2026 FSC-klagomål mail.docx", "A 17346-2026")</f>
        <v/>
      </c>
      <c r="AA24">
        <f>HYPERLINK("https://klasma.github.io/Logging_1415/tillsyn/A 17346-2026 tillsynsbegäran.docx", "A 17346-2026")</f>
        <v/>
      </c>
      <c r="AB24">
        <f>HYPERLINK("https://klasma.github.io/Logging_1415/tillsynsmail/A 17346-2026 tillsynsbegäran mail.docx", "A 17346-2026")</f>
        <v/>
      </c>
      <c r="AC24">
        <f>HYPERLINK("https://klasma.github.io/Logging_1415/fåglar/A 17346-2026 prioriterade fågelarter.docx", "A 17346-2026")</f>
        <v/>
      </c>
    </row>
    <row r="25" ht="15" customHeight="1">
      <c r="A25" t="inlineStr">
        <is>
          <t>A 45000-2024</t>
        </is>
      </c>
      <c r="B25" t="inlineStr">
        <is>
          <t>avverkningsanmälan</t>
        </is>
      </c>
      <c r="C25" t="inlineStr">
        <is>
          <t>Föryngringsavverkning</t>
        </is>
      </c>
      <c r="D25" s="1" t="n">
        <v>45575</v>
      </c>
      <c r="E25" s="1" t="n">
        <v>46218</v>
      </c>
      <c r="F25" t="inlineStr">
        <is>
          <t>VÄSTRA GÖTALANDS LÄN</t>
        </is>
      </c>
      <c r="G25" t="inlineStr">
        <is>
          <t>STENUNGSUND</t>
        </is>
      </c>
      <c r="I25" t="n">
        <v>1.2</v>
      </c>
      <c r="J25" t="n">
        <v>1</v>
      </c>
      <c r="K25" t="n">
        <v>0</v>
      </c>
      <c r="L25" t="n">
        <v>0</v>
      </c>
      <c r="M25" t="n">
        <v>0</v>
      </c>
      <c r="N25" t="n">
        <v>0</v>
      </c>
      <c r="O25" t="n">
        <v>0</v>
      </c>
      <c r="P25" t="n">
        <v>0</v>
      </c>
      <c r="Q25" t="n">
        <v>0</v>
      </c>
      <c r="R25" t="n">
        <v>0</v>
      </c>
      <c r="S25" t="n">
        <v>1</v>
      </c>
      <c r="T25" t="n">
        <v>1</v>
      </c>
      <c r="U25" s="2" t="inlineStr">
        <is>
          <t>Mattlummer</t>
        </is>
      </c>
      <c r="V25">
        <f>HYPERLINK("https://klasma.github.io/Logging_1415/artfynd/A 45000-2024 artfynd.xlsx", "A 45000-2024")</f>
        <v/>
      </c>
      <c r="W25">
        <f>HYPERLINK("https://klasma.github.io/Logging_1415/kartor/A 45000-2024 karta.png", "A 45000-2024")</f>
        <v/>
      </c>
      <c r="Y25">
        <f>HYPERLINK("https://klasma.github.io/Logging_1415/klagomål/A 45000-2024 FSC-klagomål.docx", "A 45000-2024")</f>
        <v/>
      </c>
      <c r="Z25">
        <f>HYPERLINK("https://klasma.github.io/Logging_1415/klagomålsmail/A 45000-2024 FSC-klagomål mail.docx", "A 45000-2024")</f>
        <v/>
      </c>
      <c r="AA25">
        <f>HYPERLINK("https://klasma.github.io/Logging_1415/tillsyn/A 45000-2024 tillsynsbegäran.docx", "A 45000-2024")</f>
        <v/>
      </c>
      <c r="AB25">
        <f>HYPERLINK("https://klasma.github.io/Logging_1415/tillsynsmail/A 45000-2024 tillsynsbegäran mail.docx", "A 45000-2024")</f>
        <v/>
      </c>
    </row>
    <row r="26" ht="15" customHeight="1">
      <c r="A26" t="inlineStr">
        <is>
          <t>A 48215-2022</t>
        </is>
      </c>
      <c r="B26" t="inlineStr">
        <is>
          <t>avverkningsanmälan</t>
        </is>
      </c>
      <c r="C26" t="inlineStr">
        <is>
          <t>Föryngringsavverkning</t>
        </is>
      </c>
      <c r="D26" s="1" t="n">
        <v>44858</v>
      </c>
      <c r="E26" s="1" t="n">
        <v>46218</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s="2" t="inlineStr"/>
    </row>
    <row r="27" ht="15" customHeight="1">
      <c r="A27" t="inlineStr">
        <is>
          <t>A 51116-2021</t>
        </is>
      </c>
      <c r="B27" t="inlineStr">
        <is>
          <t>avverkningsanmälan</t>
        </is>
      </c>
      <c r="C27" t="inlineStr">
        <is>
          <t>Föryngringsavverkning</t>
        </is>
      </c>
      <c r="D27" s="1" t="n">
        <v>44461</v>
      </c>
      <c r="E27" s="1" t="n">
        <v>46218</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s="2" t="inlineStr"/>
    </row>
    <row r="28" ht="15" customHeight="1">
      <c r="A28" t="inlineStr">
        <is>
          <t>A 7787-2022</t>
        </is>
      </c>
      <c r="B28" t="inlineStr">
        <is>
          <t>avverkningsanmälan</t>
        </is>
      </c>
      <c r="C28" t="inlineStr">
        <is>
          <t>Föryngringsavverkning</t>
        </is>
      </c>
      <c r="D28" s="1" t="n">
        <v>44608</v>
      </c>
      <c r="E28" s="1" t="n">
        <v>46218</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s="2" t="inlineStr"/>
    </row>
    <row r="29" ht="15" customHeight="1">
      <c r="A29" t="inlineStr">
        <is>
          <t>A 41312-2021</t>
        </is>
      </c>
      <c r="B29" t="inlineStr">
        <is>
          <t>avverkningsanmälan</t>
        </is>
      </c>
      <c r="C29" t="inlineStr">
        <is>
          <t>Föryngringsavverkning</t>
        </is>
      </c>
      <c r="D29" s="1" t="n">
        <v>44424</v>
      </c>
      <c r="E29" s="1" t="n">
        <v>46218</v>
      </c>
      <c r="F29" t="inlineStr">
        <is>
          <t>VÄSTRA GÖTALANDS LÄN</t>
        </is>
      </c>
      <c r="G29" t="inlineStr">
        <is>
          <t>STENUNGSUND</t>
        </is>
      </c>
      <c r="I29" t="n">
        <v>1.5</v>
      </c>
      <c r="J29" t="n">
        <v>0</v>
      </c>
      <c r="K29" t="n">
        <v>0</v>
      </c>
      <c r="L29" t="n">
        <v>0</v>
      </c>
      <c r="M29" t="n">
        <v>0</v>
      </c>
      <c r="N29" t="n">
        <v>0</v>
      </c>
      <c r="O29" t="n">
        <v>0</v>
      </c>
      <c r="P29" t="n">
        <v>0</v>
      </c>
      <c r="Q29" t="n">
        <v>0</v>
      </c>
      <c r="R29" t="n">
        <v>0</v>
      </c>
      <c r="S29" t="n">
        <v>0</v>
      </c>
      <c r="T29" t="n">
        <v>0</v>
      </c>
      <c r="U29" s="2" t="inlineStr"/>
    </row>
    <row r="30" ht="15" customHeight="1">
      <c r="A30" t="inlineStr">
        <is>
          <t>A 3244-2022</t>
        </is>
      </c>
      <c r="B30" t="inlineStr">
        <is>
          <t>avverkningsanmälan</t>
        </is>
      </c>
      <c r="C30" t="inlineStr">
        <is>
          <t>Föryngringsavverkning</t>
        </is>
      </c>
      <c r="D30" s="1" t="n">
        <v>44582</v>
      </c>
      <c r="E30" s="1" t="n">
        <v>46218</v>
      </c>
      <c r="F30" t="inlineStr">
        <is>
          <t>VÄSTRA GÖTALANDS LÄN</t>
        </is>
      </c>
      <c r="G30" t="inlineStr">
        <is>
          <t>STENUNGSUND</t>
        </is>
      </c>
      <c r="I30" t="n">
        <v>0.8</v>
      </c>
      <c r="J30" t="n">
        <v>0</v>
      </c>
      <c r="K30" t="n">
        <v>0</v>
      </c>
      <c r="L30" t="n">
        <v>0</v>
      </c>
      <c r="M30" t="n">
        <v>0</v>
      </c>
      <c r="N30" t="n">
        <v>0</v>
      </c>
      <c r="O30" t="n">
        <v>0</v>
      </c>
      <c r="P30" t="n">
        <v>0</v>
      </c>
      <c r="Q30" t="n">
        <v>0</v>
      </c>
      <c r="R30" t="n">
        <v>0</v>
      </c>
      <c r="S30" t="n">
        <v>0</v>
      </c>
      <c r="T30" t="n">
        <v>0</v>
      </c>
      <c r="U30" s="2" t="inlineStr"/>
    </row>
    <row r="31" ht="15" customHeight="1">
      <c r="A31" t="inlineStr">
        <is>
          <t>A 54601-2021</t>
        </is>
      </c>
      <c r="B31" t="inlineStr">
        <is>
          <t>avverkningsanmälan</t>
        </is>
      </c>
      <c r="C31" t="inlineStr">
        <is>
          <t>Föryngringsavverkning</t>
        </is>
      </c>
      <c r="D31" s="1" t="n">
        <v>44473</v>
      </c>
      <c r="E31" s="1" t="n">
        <v>46218</v>
      </c>
      <c r="F31" t="inlineStr">
        <is>
          <t>VÄSTRA GÖTALANDS LÄN</t>
        </is>
      </c>
      <c r="G31" t="inlineStr">
        <is>
          <t>STENUNGSUND</t>
        </is>
      </c>
      <c r="I31" t="n">
        <v>1.4</v>
      </c>
      <c r="J31" t="n">
        <v>0</v>
      </c>
      <c r="K31" t="n">
        <v>0</v>
      </c>
      <c r="L31" t="n">
        <v>0</v>
      </c>
      <c r="M31" t="n">
        <v>0</v>
      </c>
      <c r="N31" t="n">
        <v>0</v>
      </c>
      <c r="O31" t="n">
        <v>0</v>
      </c>
      <c r="P31" t="n">
        <v>0</v>
      </c>
      <c r="Q31" t="n">
        <v>0</v>
      </c>
      <c r="R31" t="n">
        <v>0</v>
      </c>
      <c r="S31" t="n">
        <v>0</v>
      </c>
      <c r="T31" t="n">
        <v>0</v>
      </c>
      <c r="U31" s="2" t="inlineStr"/>
    </row>
    <row r="32" ht="15" customHeight="1">
      <c r="A32" t="inlineStr">
        <is>
          <t>A 62007-2021</t>
        </is>
      </c>
      <c r="B32" t="inlineStr">
        <is>
          <t>avverkningsanmälan</t>
        </is>
      </c>
      <c r="C32" t="inlineStr">
        <is>
          <t>Föryngringsavverkning</t>
        </is>
      </c>
      <c r="D32" s="1" t="n">
        <v>44502</v>
      </c>
      <c r="E32" s="1" t="n">
        <v>46218</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s="2" t="inlineStr"/>
    </row>
    <row r="33" ht="15" customHeight="1">
      <c r="A33" t="inlineStr">
        <is>
          <t>A 9273-2022</t>
        </is>
      </c>
      <c r="B33" t="inlineStr">
        <is>
          <t>avverkningsanmälan</t>
        </is>
      </c>
      <c r="C33" t="inlineStr">
        <is>
          <t>Föryngringsavverkning</t>
        </is>
      </c>
      <c r="D33" s="1" t="n">
        <v>44616</v>
      </c>
      <c r="E33" s="1" t="n">
        <v>46218</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s="2" t="inlineStr"/>
    </row>
    <row r="34" ht="15" customHeight="1">
      <c r="A34" t="inlineStr">
        <is>
          <t>A 62220-2023</t>
        </is>
      </c>
      <c r="B34" t="inlineStr">
        <is>
          <t>avverkningsanmälan</t>
        </is>
      </c>
      <c r="C34" t="inlineStr">
        <is>
          <t>Föryngringsavverkning</t>
        </is>
      </c>
      <c r="D34" s="1" t="n">
        <v>45267</v>
      </c>
      <c r="E34" s="1" t="n">
        <v>46218</v>
      </c>
      <c r="F34" t="inlineStr">
        <is>
          <t>VÄSTRA GÖTALANDS LÄN</t>
        </is>
      </c>
      <c r="G34" t="inlineStr">
        <is>
          <t>STENUNGSUND</t>
        </is>
      </c>
      <c r="I34" t="n">
        <v>7.6</v>
      </c>
      <c r="J34" t="n">
        <v>0</v>
      </c>
      <c r="K34" t="n">
        <v>0</v>
      </c>
      <c r="L34" t="n">
        <v>0</v>
      </c>
      <c r="M34" t="n">
        <v>0</v>
      </c>
      <c r="N34" t="n">
        <v>0</v>
      </c>
      <c r="O34" t="n">
        <v>0</v>
      </c>
      <c r="P34" t="n">
        <v>0</v>
      </c>
      <c r="Q34" t="n">
        <v>0</v>
      </c>
      <c r="R34" t="n">
        <v>0</v>
      </c>
      <c r="S34" t="n">
        <v>0</v>
      </c>
      <c r="T34" t="n">
        <v>0</v>
      </c>
      <c r="U34" s="2" t="inlineStr"/>
    </row>
    <row r="35" ht="15" customHeight="1">
      <c r="A35" t="inlineStr">
        <is>
          <t>A 23070-2022</t>
        </is>
      </c>
      <c r="B35" t="inlineStr">
        <is>
          <t>avverkningsanmälan</t>
        </is>
      </c>
      <c r="C35" t="inlineStr">
        <is>
          <t>Föryngringsavverkning</t>
        </is>
      </c>
      <c r="D35" s="1" t="n">
        <v>44719</v>
      </c>
      <c r="E35" s="1" t="n">
        <v>46218</v>
      </c>
      <c r="F35" t="inlineStr">
        <is>
          <t>VÄSTRA GÖTALANDS LÄN</t>
        </is>
      </c>
      <c r="G35" t="inlineStr">
        <is>
          <t>STENUNGSUND</t>
        </is>
      </c>
      <c r="I35" t="n">
        <v>4.1</v>
      </c>
      <c r="J35" t="n">
        <v>0</v>
      </c>
      <c r="K35" t="n">
        <v>0</v>
      </c>
      <c r="L35" t="n">
        <v>0</v>
      </c>
      <c r="M35" t="n">
        <v>0</v>
      </c>
      <c r="N35" t="n">
        <v>0</v>
      </c>
      <c r="O35" t="n">
        <v>0</v>
      </c>
      <c r="P35" t="n">
        <v>0</v>
      </c>
      <c r="Q35" t="n">
        <v>0</v>
      </c>
      <c r="R35" t="n">
        <v>0</v>
      </c>
      <c r="S35" t="n">
        <v>0</v>
      </c>
      <c r="T35" t="n">
        <v>0</v>
      </c>
      <c r="U35" s="2" t="inlineStr"/>
    </row>
    <row r="36" ht="15" customHeight="1">
      <c r="A36" t="inlineStr">
        <is>
          <t>A 8684-2024</t>
        </is>
      </c>
      <c r="B36" t="inlineStr">
        <is>
          <t>avverkningsanmälan</t>
        </is>
      </c>
      <c r="C36" t="inlineStr">
        <is>
          <t>Föryngringsavverkning</t>
        </is>
      </c>
      <c r="D36" s="1" t="n">
        <v>45356</v>
      </c>
      <c r="E36" s="1" t="n">
        <v>46218</v>
      </c>
      <c r="F36" t="inlineStr">
        <is>
          <t>VÄSTRA GÖTALANDS LÄN</t>
        </is>
      </c>
      <c r="G36" t="inlineStr">
        <is>
          <t>STENUNGSUND</t>
        </is>
      </c>
      <c r="I36" t="n">
        <v>2.3</v>
      </c>
      <c r="J36" t="n">
        <v>0</v>
      </c>
      <c r="K36" t="n">
        <v>0</v>
      </c>
      <c r="L36" t="n">
        <v>0</v>
      </c>
      <c r="M36" t="n">
        <v>0</v>
      </c>
      <c r="N36" t="n">
        <v>0</v>
      </c>
      <c r="O36" t="n">
        <v>0</v>
      </c>
      <c r="P36" t="n">
        <v>0</v>
      </c>
      <c r="Q36" t="n">
        <v>0</v>
      </c>
      <c r="R36" t="n">
        <v>0</v>
      </c>
      <c r="S36" t="n">
        <v>0</v>
      </c>
      <c r="T36" t="n">
        <v>0</v>
      </c>
      <c r="U36" s="2" t="inlineStr"/>
    </row>
    <row r="37" ht="15" customHeight="1">
      <c r="A37" t="inlineStr">
        <is>
          <t>A 20974-2025</t>
        </is>
      </c>
      <c r="B37" t="inlineStr">
        <is>
          <t>avverkningsanmälan</t>
        </is>
      </c>
      <c r="C37" t="inlineStr">
        <is>
          <t>Föryngringsavverkning</t>
        </is>
      </c>
      <c r="D37" s="1" t="n">
        <v>45777</v>
      </c>
      <c r="E37" s="1" t="n">
        <v>46218</v>
      </c>
      <c r="F37" t="inlineStr">
        <is>
          <t>VÄSTRA GÖTALANDS LÄN</t>
        </is>
      </c>
      <c r="G37" t="inlineStr">
        <is>
          <t>STENUNGSUND</t>
        </is>
      </c>
      <c r="I37" t="n">
        <v>10.3</v>
      </c>
      <c r="J37" t="n">
        <v>0</v>
      </c>
      <c r="K37" t="n">
        <v>0</v>
      </c>
      <c r="L37" t="n">
        <v>0</v>
      </c>
      <c r="M37" t="n">
        <v>0</v>
      </c>
      <c r="N37" t="n">
        <v>0</v>
      </c>
      <c r="O37" t="n">
        <v>0</v>
      </c>
      <c r="P37" t="n">
        <v>0</v>
      </c>
      <c r="Q37" t="n">
        <v>0</v>
      </c>
      <c r="R37" t="n">
        <v>0</v>
      </c>
      <c r="S37" t="n">
        <v>0</v>
      </c>
      <c r="T37" t="n">
        <v>0</v>
      </c>
      <c r="U37" s="2" t="inlineStr"/>
    </row>
    <row r="38" ht="15" customHeight="1">
      <c r="A38" t="inlineStr">
        <is>
          <t>A 27030-2023</t>
        </is>
      </c>
      <c r="B38" t="inlineStr">
        <is>
          <t>avverkningsanmälan</t>
        </is>
      </c>
      <c r="C38" t="inlineStr">
        <is>
          <t>Föryngringsavverkning</t>
        </is>
      </c>
      <c r="D38" s="1" t="n">
        <v>45095</v>
      </c>
      <c r="E38" s="1" t="n">
        <v>46218</v>
      </c>
      <c r="F38" t="inlineStr">
        <is>
          <t>VÄSTRA GÖTALANDS LÄN</t>
        </is>
      </c>
      <c r="G38" t="inlineStr">
        <is>
          <t>STENUNGSUND</t>
        </is>
      </c>
      <c r="I38" t="n">
        <v>3.1</v>
      </c>
      <c r="J38" t="n">
        <v>0</v>
      </c>
      <c r="K38" t="n">
        <v>0</v>
      </c>
      <c r="L38" t="n">
        <v>0</v>
      </c>
      <c r="M38" t="n">
        <v>0</v>
      </c>
      <c r="N38" t="n">
        <v>0</v>
      </c>
      <c r="O38" t="n">
        <v>0</v>
      </c>
      <c r="P38" t="n">
        <v>0</v>
      </c>
      <c r="Q38" t="n">
        <v>0</v>
      </c>
      <c r="R38" t="n">
        <v>0</v>
      </c>
      <c r="S38" t="n">
        <v>0</v>
      </c>
      <c r="T38" t="n">
        <v>0</v>
      </c>
      <c r="U38" s="2" t="inlineStr"/>
    </row>
    <row r="39" ht="15" customHeight="1">
      <c r="A39" t="inlineStr">
        <is>
          <t>A 38996-2025</t>
        </is>
      </c>
      <c r="B39" t="inlineStr">
        <is>
          <t>avverkningsanmälan</t>
        </is>
      </c>
      <c r="C39" t="inlineStr">
        <is>
          <t>Föryngringsavverkning</t>
        </is>
      </c>
      <c r="D39" s="1" t="n">
        <v>45888</v>
      </c>
      <c r="E39" s="1" t="n">
        <v>46218</v>
      </c>
      <c r="F39" t="inlineStr">
        <is>
          <t>VÄSTRA GÖTALANDS LÄN</t>
        </is>
      </c>
      <c r="G39" t="inlineStr">
        <is>
          <t>STENUNGSUND</t>
        </is>
      </c>
      <c r="I39" t="n">
        <v>2.3</v>
      </c>
      <c r="J39" t="n">
        <v>0</v>
      </c>
      <c r="K39" t="n">
        <v>0</v>
      </c>
      <c r="L39" t="n">
        <v>0</v>
      </c>
      <c r="M39" t="n">
        <v>0</v>
      </c>
      <c r="N39" t="n">
        <v>0</v>
      </c>
      <c r="O39" t="n">
        <v>0</v>
      </c>
      <c r="P39" t="n">
        <v>0</v>
      </c>
      <c r="Q39" t="n">
        <v>0</v>
      </c>
      <c r="R39" t="n">
        <v>0</v>
      </c>
      <c r="S39" t="n">
        <v>0</v>
      </c>
      <c r="T39" t="n">
        <v>0</v>
      </c>
      <c r="U39" s="2" t="inlineStr"/>
    </row>
    <row r="40" ht="15" customHeight="1">
      <c r="A40" t="inlineStr">
        <is>
          <t>A 38994-2025</t>
        </is>
      </c>
      <c r="B40" t="inlineStr">
        <is>
          <t>avverkningsanmälan</t>
        </is>
      </c>
      <c r="C40" t="inlineStr">
        <is>
          <t>Föryngringsavverkning</t>
        </is>
      </c>
      <c r="D40" s="1" t="n">
        <v>45888</v>
      </c>
      <c r="E40" s="1" t="n">
        <v>46218</v>
      </c>
      <c r="F40" t="inlineStr">
        <is>
          <t>VÄSTRA GÖTALANDS LÄN</t>
        </is>
      </c>
      <c r="G40" t="inlineStr">
        <is>
          <t>STENUNGSUND</t>
        </is>
      </c>
      <c r="I40" t="n">
        <v>0.4</v>
      </c>
      <c r="J40" t="n">
        <v>0</v>
      </c>
      <c r="K40" t="n">
        <v>0</v>
      </c>
      <c r="L40" t="n">
        <v>0</v>
      </c>
      <c r="M40" t="n">
        <v>0</v>
      </c>
      <c r="N40" t="n">
        <v>0</v>
      </c>
      <c r="O40" t="n">
        <v>0</v>
      </c>
      <c r="P40" t="n">
        <v>0</v>
      </c>
      <c r="Q40" t="n">
        <v>0</v>
      </c>
      <c r="R40" t="n">
        <v>0</v>
      </c>
      <c r="S40" t="n">
        <v>0</v>
      </c>
      <c r="T40" t="n">
        <v>0</v>
      </c>
      <c r="U40" s="2" t="inlineStr"/>
    </row>
    <row r="41" ht="15" customHeight="1">
      <c r="A41" t="inlineStr">
        <is>
          <t>A 37866-2021</t>
        </is>
      </c>
      <c r="B41" t="inlineStr">
        <is>
          <t>avverkningsanmälan</t>
        </is>
      </c>
      <c r="C41" t="inlineStr">
        <is>
          <t>Föryngringsavverkning</t>
        </is>
      </c>
      <c r="D41" s="1" t="n">
        <v>44403</v>
      </c>
      <c r="E41" s="1" t="n">
        <v>46218</v>
      </c>
      <c r="F41" t="inlineStr">
        <is>
          <t>VÄSTRA GÖTALANDS LÄN</t>
        </is>
      </c>
      <c r="G41" t="inlineStr">
        <is>
          <t>STENUNGSUND</t>
        </is>
      </c>
      <c r="I41" t="n">
        <v>1.5</v>
      </c>
      <c r="J41" t="n">
        <v>0</v>
      </c>
      <c r="K41" t="n">
        <v>0</v>
      </c>
      <c r="L41" t="n">
        <v>0</v>
      </c>
      <c r="M41" t="n">
        <v>0</v>
      </c>
      <c r="N41" t="n">
        <v>0</v>
      </c>
      <c r="O41" t="n">
        <v>0</v>
      </c>
      <c r="P41" t="n">
        <v>0</v>
      </c>
      <c r="Q41" t="n">
        <v>0</v>
      </c>
      <c r="R41" t="n">
        <v>0</v>
      </c>
      <c r="S41" t="n">
        <v>0</v>
      </c>
      <c r="T41" t="n">
        <v>0</v>
      </c>
      <c r="U41" s="2" t="inlineStr"/>
    </row>
    <row r="42" ht="15" customHeight="1">
      <c r="A42" t="inlineStr">
        <is>
          <t>A 6913-2024</t>
        </is>
      </c>
      <c r="B42" t="inlineStr">
        <is>
          <t>avverkningsanmälan</t>
        </is>
      </c>
      <c r="C42" t="inlineStr">
        <is>
          <t>Föryngringsavverkning</t>
        </is>
      </c>
      <c r="D42" s="1" t="n">
        <v>45343</v>
      </c>
      <c r="E42" s="1" t="n">
        <v>46218</v>
      </c>
      <c r="F42" t="inlineStr">
        <is>
          <t>VÄSTRA GÖTALANDS LÄN</t>
        </is>
      </c>
      <c r="G42" t="inlineStr">
        <is>
          <t>STENUNGSUND</t>
        </is>
      </c>
      <c r="I42" t="n">
        <v>2</v>
      </c>
      <c r="J42" t="n">
        <v>0</v>
      </c>
      <c r="K42" t="n">
        <v>0</v>
      </c>
      <c r="L42" t="n">
        <v>0</v>
      </c>
      <c r="M42" t="n">
        <v>0</v>
      </c>
      <c r="N42" t="n">
        <v>0</v>
      </c>
      <c r="O42" t="n">
        <v>0</v>
      </c>
      <c r="P42" t="n">
        <v>0</v>
      </c>
      <c r="Q42" t="n">
        <v>0</v>
      </c>
      <c r="R42" t="n">
        <v>0</v>
      </c>
      <c r="S42" t="n">
        <v>0</v>
      </c>
      <c r="T42" t="n">
        <v>0</v>
      </c>
      <c r="U42" s="2" t="inlineStr"/>
    </row>
    <row r="43" ht="15" customHeight="1">
      <c r="A43" t="inlineStr">
        <is>
          <t>A 4578-2023</t>
        </is>
      </c>
      <c r="B43" t="inlineStr">
        <is>
          <t>avverkningsanmälan</t>
        </is>
      </c>
      <c r="C43" t="inlineStr">
        <is>
          <t>Föryngringsavverkning</t>
        </is>
      </c>
      <c r="D43" s="1" t="n">
        <v>44951</v>
      </c>
      <c r="E43" s="1" t="n">
        <v>46218</v>
      </c>
      <c r="F43" t="inlineStr">
        <is>
          <t>VÄSTRA GÖTALANDS LÄN</t>
        </is>
      </c>
      <c r="G43" t="inlineStr">
        <is>
          <t>STENUNGSUND</t>
        </is>
      </c>
      <c r="I43" t="n">
        <v>0.7</v>
      </c>
      <c r="J43" t="n">
        <v>0</v>
      </c>
      <c r="K43" t="n">
        <v>0</v>
      </c>
      <c r="L43" t="n">
        <v>0</v>
      </c>
      <c r="M43" t="n">
        <v>0</v>
      </c>
      <c r="N43" t="n">
        <v>0</v>
      </c>
      <c r="O43" t="n">
        <v>0</v>
      </c>
      <c r="P43" t="n">
        <v>0</v>
      </c>
      <c r="Q43" t="n">
        <v>0</v>
      </c>
      <c r="R43" t="n">
        <v>0</v>
      </c>
      <c r="S43" t="n">
        <v>0</v>
      </c>
      <c r="T43" t="n">
        <v>0</v>
      </c>
      <c r="U43" s="2" t="inlineStr"/>
    </row>
    <row r="44" ht="15" customHeight="1">
      <c r="A44" t="inlineStr">
        <is>
          <t>A 42791-2025</t>
        </is>
      </c>
      <c r="B44" t="inlineStr">
        <is>
          <t>avverkningsanmälan</t>
        </is>
      </c>
      <c r="C44" t="inlineStr">
        <is>
          <t>Föryngringsavverkning</t>
        </is>
      </c>
      <c r="D44" s="1" t="n">
        <v>45908</v>
      </c>
      <c r="E44" s="1" t="n">
        <v>46218</v>
      </c>
      <c r="F44" t="inlineStr">
        <is>
          <t>VÄSTRA GÖTALANDS LÄN</t>
        </is>
      </c>
      <c r="G44" t="inlineStr">
        <is>
          <t>STENUNGSUND</t>
        </is>
      </c>
      <c r="I44" t="n">
        <v>1.9</v>
      </c>
      <c r="J44" t="n">
        <v>0</v>
      </c>
      <c r="K44" t="n">
        <v>0</v>
      </c>
      <c r="L44" t="n">
        <v>0</v>
      </c>
      <c r="M44" t="n">
        <v>0</v>
      </c>
      <c r="N44" t="n">
        <v>0</v>
      </c>
      <c r="O44" t="n">
        <v>0</v>
      </c>
      <c r="P44" t="n">
        <v>0</v>
      </c>
      <c r="Q44" t="n">
        <v>0</v>
      </c>
      <c r="R44" t="n">
        <v>0</v>
      </c>
      <c r="S44" t="n">
        <v>0</v>
      </c>
      <c r="T44" t="n">
        <v>0</v>
      </c>
      <c r="U44" s="2" t="inlineStr"/>
    </row>
    <row r="45" ht="15" customHeight="1">
      <c r="A45" t="inlineStr">
        <is>
          <t>A 809-2025</t>
        </is>
      </c>
      <c r="B45" t="inlineStr">
        <is>
          <t>avverkningsanmälan</t>
        </is>
      </c>
      <c r="C45" t="inlineStr">
        <is>
          <t>Föryngringsavverkning</t>
        </is>
      </c>
      <c r="D45" s="1" t="n">
        <v>45665</v>
      </c>
      <c r="E45" s="1" t="n">
        <v>46218</v>
      </c>
      <c r="F45" t="inlineStr">
        <is>
          <t>VÄSTRA GÖTALANDS LÄN</t>
        </is>
      </c>
      <c r="G45" t="inlineStr">
        <is>
          <t>STENUNGSUND</t>
        </is>
      </c>
      <c r="I45" t="n">
        <v>1</v>
      </c>
      <c r="J45" t="n">
        <v>0</v>
      </c>
      <c r="K45" t="n">
        <v>0</v>
      </c>
      <c r="L45" t="n">
        <v>0</v>
      </c>
      <c r="M45" t="n">
        <v>0</v>
      </c>
      <c r="N45" t="n">
        <v>0</v>
      </c>
      <c r="O45" t="n">
        <v>0</v>
      </c>
      <c r="P45" t="n">
        <v>0</v>
      </c>
      <c r="Q45" t="n">
        <v>0</v>
      </c>
      <c r="R45" t="n">
        <v>0</v>
      </c>
      <c r="S45" t="n">
        <v>0</v>
      </c>
      <c r="T45" t="n">
        <v>0</v>
      </c>
      <c r="U45" s="2" t="inlineStr"/>
    </row>
    <row r="46" ht="15" customHeight="1">
      <c r="A46" t="inlineStr">
        <is>
          <t>A 10472-2024</t>
        </is>
      </c>
      <c r="B46" t="inlineStr">
        <is>
          <t>avverkningsanmälan</t>
        </is>
      </c>
      <c r="C46" t="inlineStr">
        <is>
          <t>Föryngringsavverkning</t>
        </is>
      </c>
      <c r="D46" s="1" t="n">
        <v>45366</v>
      </c>
      <c r="E46" s="1" t="n">
        <v>46218</v>
      </c>
      <c r="F46" t="inlineStr">
        <is>
          <t>VÄSTRA GÖTALANDS LÄN</t>
        </is>
      </c>
      <c r="G46" t="inlineStr">
        <is>
          <t>STENUNGSUND</t>
        </is>
      </c>
      <c r="I46" t="n">
        <v>6.3</v>
      </c>
      <c r="J46" t="n">
        <v>0</v>
      </c>
      <c r="K46" t="n">
        <v>0</v>
      </c>
      <c r="L46" t="n">
        <v>0</v>
      </c>
      <c r="M46" t="n">
        <v>0</v>
      </c>
      <c r="N46" t="n">
        <v>0</v>
      </c>
      <c r="O46" t="n">
        <v>0</v>
      </c>
      <c r="P46" t="n">
        <v>0</v>
      </c>
      <c r="Q46" t="n">
        <v>0</v>
      </c>
      <c r="R46" t="n">
        <v>0</v>
      </c>
      <c r="S46" t="n">
        <v>0</v>
      </c>
      <c r="T46" t="n">
        <v>0</v>
      </c>
      <c r="U46" s="2" t="inlineStr"/>
    </row>
    <row r="47" ht="15" customHeight="1">
      <c r="A47" t="inlineStr">
        <is>
          <t>A 52952-2021</t>
        </is>
      </c>
      <c r="B47" t="inlineStr">
        <is>
          <t>avverkningsanmälan</t>
        </is>
      </c>
      <c r="C47" t="inlineStr">
        <is>
          <t>Föryngringsavverkning</t>
        </is>
      </c>
      <c r="D47" s="1" t="n">
        <v>44467</v>
      </c>
      <c r="E47" s="1" t="n">
        <v>46218</v>
      </c>
      <c r="F47" t="inlineStr">
        <is>
          <t>VÄSTRA GÖTALANDS LÄN</t>
        </is>
      </c>
      <c r="G47" t="inlineStr">
        <is>
          <t>STENUNGSUND</t>
        </is>
      </c>
      <c r="I47" t="n">
        <v>0.4</v>
      </c>
      <c r="J47" t="n">
        <v>0</v>
      </c>
      <c r="K47" t="n">
        <v>0</v>
      </c>
      <c r="L47" t="n">
        <v>0</v>
      </c>
      <c r="M47" t="n">
        <v>0</v>
      </c>
      <c r="N47" t="n">
        <v>0</v>
      </c>
      <c r="O47" t="n">
        <v>0</v>
      </c>
      <c r="P47" t="n">
        <v>0</v>
      </c>
      <c r="Q47" t="n">
        <v>0</v>
      </c>
      <c r="R47" t="n">
        <v>0</v>
      </c>
      <c r="S47" t="n">
        <v>0</v>
      </c>
      <c r="T47" t="n">
        <v>0</v>
      </c>
      <c r="U47" s="2" t="inlineStr"/>
    </row>
    <row r="48" ht="15" customHeight="1">
      <c r="A48" t="inlineStr">
        <is>
          <t>A 6699-2022</t>
        </is>
      </c>
      <c r="B48" t="inlineStr">
        <is>
          <t>avverkningsanmälan</t>
        </is>
      </c>
      <c r="C48" t="inlineStr">
        <is>
          <t>Avverkning för annat ändamål</t>
        </is>
      </c>
      <c r="D48" s="1" t="n">
        <v>44602</v>
      </c>
      <c r="E48" s="1" t="n">
        <v>46218</v>
      </c>
      <c r="F48" t="inlineStr">
        <is>
          <t>VÄSTRA GÖTALANDS LÄN</t>
        </is>
      </c>
      <c r="G48" t="inlineStr">
        <is>
          <t>STENUNGSUND</t>
        </is>
      </c>
      <c r="I48" t="n">
        <v>10</v>
      </c>
      <c r="J48" t="n">
        <v>0</v>
      </c>
      <c r="K48" t="n">
        <v>0</v>
      </c>
      <c r="L48" t="n">
        <v>0</v>
      </c>
      <c r="M48" t="n">
        <v>0</v>
      </c>
      <c r="N48" t="n">
        <v>0</v>
      </c>
      <c r="O48" t="n">
        <v>0</v>
      </c>
      <c r="P48" t="n">
        <v>0</v>
      </c>
      <c r="Q48" t="n">
        <v>0</v>
      </c>
      <c r="R48" t="n">
        <v>0</v>
      </c>
      <c r="S48" t="n">
        <v>0</v>
      </c>
      <c r="T48" t="n">
        <v>0</v>
      </c>
      <c r="U48" s="2" t="inlineStr"/>
    </row>
    <row r="49" ht="15" customHeight="1">
      <c r="A49" t="inlineStr">
        <is>
          <t>A 23762-2024</t>
        </is>
      </c>
      <c r="B49" t="inlineStr">
        <is>
          <t>avverkningsanmälan</t>
        </is>
      </c>
      <c r="C49" t="inlineStr">
        <is>
          <t>Föryngringsavverkning</t>
        </is>
      </c>
      <c r="D49" s="1" t="n">
        <v>45455</v>
      </c>
      <c r="E49" s="1" t="n">
        <v>46218</v>
      </c>
      <c r="F49" t="inlineStr">
        <is>
          <t>VÄSTRA GÖTALANDS LÄN</t>
        </is>
      </c>
      <c r="G49" t="inlineStr">
        <is>
          <t>STENUNGSUND</t>
        </is>
      </c>
      <c r="I49" t="n">
        <v>2</v>
      </c>
      <c r="J49" t="n">
        <v>0</v>
      </c>
      <c r="K49" t="n">
        <v>0</v>
      </c>
      <c r="L49" t="n">
        <v>0</v>
      </c>
      <c r="M49" t="n">
        <v>0</v>
      </c>
      <c r="N49" t="n">
        <v>0</v>
      </c>
      <c r="O49" t="n">
        <v>0</v>
      </c>
      <c r="P49" t="n">
        <v>0</v>
      </c>
      <c r="Q49" t="n">
        <v>0</v>
      </c>
      <c r="R49" t="n">
        <v>0</v>
      </c>
      <c r="S49" t="n">
        <v>0</v>
      </c>
      <c r="T49" t="n">
        <v>0</v>
      </c>
      <c r="U49" s="2" t="inlineStr"/>
    </row>
    <row r="50" ht="15" customHeight="1">
      <c r="A50" t="inlineStr">
        <is>
          <t>A 34253-2023</t>
        </is>
      </c>
      <c r="B50" t="inlineStr">
        <is>
          <t>avverkningsanmälan</t>
        </is>
      </c>
      <c r="C50" t="inlineStr">
        <is>
          <t>Föryngringsavverkning</t>
        </is>
      </c>
      <c r="D50" s="1" t="n">
        <v>45138</v>
      </c>
      <c r="E50" s="1" t="n">
        <v>46218</v>
      </c>
      <c r="F50" t="inlineStr">
        <is>
          <t>VÄSTRA GÖTALANDS LÄN</t>
        </is>
      </c>
      <c r="G50" t="inlineStr">
        <is>
          <t>STENUNGSUND</t>
        </is>
      </c>
      <c r="I50" t="n">
        <v>1.8</v>
      </c>
      <c r="J50" t="n">
        <v>0</v>
      </c>
      <c r="K50" t="n">
        <v>0</v>
      </c>
      <c r="L50" t="n">
        <v>0</v>
      </c>
      <c r="M50" t="n">
        <v>0</v>
      </c>
      <c r="N50" t="n">
        <v>0</v>
      </c>
      <c r="O50" t="n">
        <v>0</v>
      </c>
      <c r="P50" t="n">
        <v>0</v>
      </c>
      <c r="Q50" t="n">
        <v>0</v>
      </c>
      <c r="R50" t="n">
        <v>0</v>
      </c>
      <c r="S50" t="n">
        <v>0</v>
      </c>
      <c r="T50" t="n">
        <v>0</v>
      </c>
      <c r="U50" s="2" t="inlineStr"/>
    </row>
    <row r="51" ht="15" customHeight="1">
      <c r="A51" t="inlineStr">
        <is>
          <t>A 34555-2024</t>
        </is>
      </c>
      <c r="B51" t="inlineStr">
        <is>
          <t>avverkningsanmälan</t>
        </is>
      </c>
      <c r="C51" t="inlineStr">
        <is>
          <t>Föryngringsavverkning</t>
        </is>
      </c>
      <c r="D51" s="1" t="n">
        <v>45525</v>
      </c>
      <c r="E51" s="1" t="n">
        <v>46218</v>
      </c>
      <c r="F51" t="inlineStr">
        <is>
          <t>VÄSTRA GÖTALANDS LÄN</t>
        </is>
      </c>
      <c r="G51" t="inlineStr">
        <is>
          <t>STENUNGSUND</t>
        </is>
      </c>
      <c r="I51" t="n">
        <v>3.1</v>
      </c>
      <c r="J51" t="n">
        <v>0</v>
      </c>
      <c r="K51" t="n">
        <v>0</v>
      </c>
      <c r="L51" t="n">
        <v>0</v>
      </c>
      <c r="M51" t="n">
        <v>0</v>
      </c>
      <c r="N51" t="n">
        <v>0</v>
      </c>
      <c r="O51" t="n">
        <v>0</v>
      </c>
      <c r="P51" t="n">
        <v>0</v>
      </c>
      <c r="Q51" t="n">
        <v>0</v>
      </c>
      <c r="R51" t="n">
        <v>0</v>
      </c>
      <c r="S51" t="n">
        <v>0</v>
      </c>
      <c r="T51" t="n">
        <v>0</v>
      </c>
      <c r="U51" s="2" t="inlineStr"/>
    </row>
    <row r="52" ht="15" customHeight="1">
      <c r="A52" t="inlineStr">
        <is>
          <t>A 57768-2024</t>
        </is>
      </c>
      <c r="B52" t="inlineStr">
        <is>
          <t>avverkningsanmälan</t>
        </is>
      </c>
      <c r="C52" t="inlineStr">
        <is>
          <t>Föryngringsavverkning</t>
        </is>
      </c>
      <c r="D52" s="1" t="n">
        <v>45630</v>
      </c>
      <c r="E52" s="1" t="n">
        <v>46218</v>
      </c>
      <c r="F52" t="inlineStr">
        <is>
          <t>VÄSTRA GÖTALANDS LÄN</t>
        </is>
      </c>
      <c r="G52" t="inlineStr">
        <is>
          <t>STENUNGSUND</t>
        </is>
      </c>
      <c r="I52" t="n">
        <v>1</v>
      </c>
      <c r="J52" t="n">
        <v>0</v>
      </c>
      <c r="K52" t="n">
        <v>0</v>
      </c>
      <c r="L52" t="n">
        <v>0</v>
      </c>
      <c r="M52" t="n">
        <v>0</v>
      </c>
      <c r="N52" t="n">
        <v>0</v>
      </c>
      <c r="O52" t="n">
        <v>0</v>
      </c>
      <c r="P52" t="n">
        <v>0</v>
      </c>
      <c r="Q52" t="n">
        <v>0</v>
      </c>
      <c r="R52" t="n">
        <v>0</v>
      </c>
      <c r="S52" t="n">
        <v>0</v>
      </c>
      <c r="T52" t="n">
        <v>0</v>
      </c>
      <c r="U52" s="2" t="inlineStr"/>
    </row>
    <row r="53" ht="15" customHeight="1">
      <c r="A53" t="inlineStr">
        <is>
          <t>A 64992-2023</t>
        </is>
      </c>
      <c r="B53" t="inlineStr">
        <is>
          <t>avverkningsanmälan</t>
        </is>
      </c>
      <c r="C53" t="inlineStr">
        <is>
          <t>Föryngringsavverkning</t>
        </is>
      </c>
      <c r="D53" s="1" t="n">
        <v>45286</v>
      </c>
      <c r="E53" s="1" t="n">
        <v>46218</v>
      </c>
      <c r="F53" t="inlineStr">
        <is>
          <t>VÄSTRA GÖTALANDS LÄN</t>
        </is>
      </c>
      <c r="G53" t="inlineStr">
        <is>
          <t>STENUNGSUND</t>
        </is>
      </c>
      <c r="I53" t="n">
        <v>1.8</v>
      </c>
      <c r="J53" t="n">
        <v>0</v>
      </c>
      <c r="K53" t="n">
        <v>0</v>
      </c>
      <c r="L53" t="n">
        <v>0</v>
      </c>
      <c r="M53" t="n">
        <v>0</v>
      </c>
      <c r="N53" t="n">
        <v>0</v>
      </c>
      <c r="O53" t="n">
        <v>0</v>
      </c>
      <c r="P53" t="n">
        <v>0</v>
      </c>
      <c r="Q53" t="n">
        <v>0</v>
      </c>
      <c r="R53" t="n">
        <v>0</v>
      </c>
      <c r="S53" t="n">
        <v>0</v>
      </c>
      <c r="T53" t="n">
        <v>0</v>
      </c>
      <c r="U53" s="2" t="inlineStr"/>
    </row>
    <row r="54" ht="15" customHeight="1">
      <c r="A54" t="inlineStr">
        <is>
          <t>A 57766-2024</t>
        </is>
      </c>
      <c r="B54" t="inlineStr">
        <is>
          <t>avverkningsanmälan</t>
        </is>
      </c>
      <c r="C54" t="inlineStr">
        <is>
          <t>Föryngringsavverkning</t>
        </is>
      </c>
      <c r="D54" s="1" t="n">
        <v>45630</v>
      </c>
      <c r="E54" s="1" t="n">
        <v>46218</v>
      </c>
      <c r="F54" t="inlineStr">
        <is>
          <t>VÄSTRA GÖTALANDS LÄN</t>
        </is>
      </c>
      <c r="G54" t="inlineStr">
        <is>
          <t>STENUNGSUND</t>
        </is>
      </c>
      <c r="I54" t="n">
        <v>2.5</v>
      </c>
      <c r="J54" t="n">
        <v>0</v>
      </c>
      <c r="K54" t="n">
        <v>0</v>
      </c>
      <c r="L54" t="n">
        <v>0</v>
      </c>
      <c r="M54" t="n">
        <v>0</v>
      </c>
      <c r="N54" t="n">
        <v>0</v>
      </c>
      <c r="O54" t="n">
        <v>0</v>
      </c>
      <c r="P54" t="n">
        <v>0</v>
      </c>
      <c r="Q54" t="n">
        <v>0</v>
      </c>
      <c r="R54" t="n">
        <v>0</v>
      </c>
      <c r="S54" t="n">
        <v>0</v>
      </c>
      <c r="T54" t="n">
        <v>0</v>
      </c>
      <c r="U54" s="2" t="inlineStr"/>
    </row>
    <row r="55" ht="15" customHeight="1">
      <c r="A55" t="inlineStr">
        <is>
          <t>A 57767-2024</t>
        </is>
      </c>
      <c r="B55" t="inlineStr">
        <is>
          <t>avverkningsanmälan</t>
        </is>
      </c>
      <c r="C55" t="inlineStr">
        <is>
          <t>Föryngringsavverkning</t>
        </is>
      </c>
      <c r="D55" s="1" t="n">
        <v>45630</v>
      </c>
      <c r="E55" s="1" t="n">
        <v>46218</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s="2" t="inlineStr"/>
    </row>
    <row r="56" ht="15" customHeight="1">
      <c r="A56" t="inlineStr">
        <is>
          <t>A 57769-2024</t>
        </is>
      </c>
      <c r="B56" t="inlineStr">
        <is>
          <t>avverkningsanmälan</t>
        </is>
      </c>
      <c r="C56" t="inlineStr">
        <is>
          <t>Föryngringsavverkning</t>
        </is>
      </c>
      <c r="D56" s="1" t="n">
        <v>45630</v>
      </c>
      <c r="E56" s="1" t="n">
        <v>46218</v>
      </c>
      <c r="F56" t="inlineStr">
        <is>
          <t>VÄSTRA GÖTALANDS LÄN</t>
        </is>
      </c>
      <c r="G56" t="inlineStr">
        <is>
          <t>STENUNGSUND</t>
        </is>
      </c>
      <c r="I56" t="n">
        <v>0.6</v>
      </c>
      <c r="J56" t="n">
        <v>0</v>
      </c>
      <c r="K56" t="n">
        <v>0</v>
      </c>
      <c r="L56" t="n">
        <v>0</v>
      </c>
      <c r="M56" t="n">
        <v>0</v>
      </c>
      <c r="N56" t="n">
        <v>0</v>
      </c>
      <c r="O56" t="n">
        <v>0</v>
      </c>
      <c r="P56" t="n">
        <v>0</v>
      </c>
      <c r="Q56" t="n">
        <v>0</v>
      </c>
      <c r="R56" t="n">
        <v>0</v>
      </c>
      <c r="S56" t="n">
        <v>0</v>
      </c>
      <c r="T56" t="n">
        <v>0</v>
      </c>
      <c r="U56" s="2" t="inlineStr"/>
    </row>
    <row r="57" ht="15" customHeight="1">
      <c r="A57" t="inlineStr">
        <is>
          <t>A 22728-2025</t>
        </is>
      </c>
      <c r="B57" t="inlineStr">
        <is>
          <t>avverkningsanmälan</t>
        </is>
      </c>
      <c r="C57" t="inlineStr">
        <is>
          <t>Föryngringsavverkning</t>
        </is>
      </c>
      <c r="D57" s="1" t="n">
        <v>45789</v>
      </c>
      <c r="E57" s="1" t="n">
        <v>46218</v>
      </c>
      <c r="F57" t="inlineStr">
        <is>
          <t>VÄSTRA GÖTALANDS LÄN</t>
        </is>
      </c>
      <c r="G57" t="inlineStr">
        <is>
          <t>STENUNGSUND</t>
        </is>
      </c>
      <c r="I57" t="n">
        <v>1.3</v>
      </c>
      <c r="J57" t="n">
        <v>0</v>
      </c>
      <c r="K57" t="n">
        <v>0</v>
      </c>
      <c r="L57" t="n">
        <v>0</v>
      </c>
      <c r="M57" t="n">
        <v>0</v>
      </c>
      <c r="N57" t="n">
        <v>0</v>
      </c>
      <c r="O57" t="n">
        <v>0</v>
      </c>
      <c r="P57" t="n">
        <v>0</v>
      </c>
      <c r="Q57" t="n">
        <v>0</v>
      </c>
      <c r="R57" t="n">
        <v>0</v>
      </c>
      <c r="S57" t="n">
        <v>0</v>
      </c>
      <c r="T57" t="n">
        <v>0</v>
      </c>
      <c r="U57" s="2" t="inlineStr"/>
    </row>
    <row r="58" ht="15" customHeight="1">
      <c r="A58" t="inlineStr">
        <is>
          <t>A 60550-2023</t>
        </is>
      </c>
      <c r="B58" t="inlineStr">
        <is>
          <t>avverkningsanmälan</t>
        </is>
      </c>
      <c r="C58" t="inlineStr">
        <is>
          <t>Föryngringsavverkning</t>
        </is>
      </c>
      <c r="D58" s="1" t="n">
        <v>45259</v>
      </c>
      <c r="E58" s="1" t="n">
        <v>46218</v>
      </c>
      <c r="F58" t="inlineStr">
        <is>
          <t>VÄSTRA GÖTALANDS LÄN</t>
        </is>
      </c>
      <c r="G58" t="inlineStr">
        <is>
          <t>STENUNGSUND</t>
        </is>
      </c>
      <c r="I58" t="n">
        <v>0.5</v>
      </c>
      <c r="J58" t="n">
        <v>0</v>
      </c>
      <c r="K58" t="n">
        <v>0</v>
      </c>
      <c r="L58" t="n">
        <v>0</v>
      </c>
      <c r="M58" t="n">
        <v>0</v>
      </c>
      <c r="N58" t="n">
        <v>0</v>
      </c>
      <c r="O58" t="n">
        <v>0</v>
      </c>
      <c r="P58" t="n">
        <v>0</v>
      </c>
      <c r="Q58" t="n">
        <v>0</v>
      </c>
      <c r="R58" t="n">
        <v>0</v>
      </c>
      <c r="S58" t="n">
        <v>0</v>
      </c>
      <c r="T58" t="n">
        <v>0</v>
      </c>
      <c r="U58" s="2" t="inlineStr"/>
    </row>
    <row r="59" ht="15" customHeight="1">
      <c r="A59" t="inlineStr">
        <is>
          <t>A 19296-2025</t>
        </is>
      </c>
      <c r="B59" t="inlineStr">
        <is>
          <t>avverkningsanmälan</t>
        </is>
      </c>
      <c r="C59" t="inlineStr">
        <is>
          <t>Föryngringsavverkning</t>
        </is>
      </c>
      <c r="D59" s="1" t="n">
        <v>45769</v>
      </c>
      <c r="E59" s="1" t="n">
        <v>46218</v>
      </c>
      <c r="F59" t="inlineStr">
        <is>
          <t>VÄSTRA GÖTALANDS LÄN</t>
        </is>
      </c>
      <c r="G59" t="inlineStr">
        <is>
          <t>STENUNGSUND</t>
        </is>
      </c>
      <c r="I59" t="n">
        <v>3.3</v>
      </c>
      <c r="J59" t="n">
        <v>0</v>
      </c>
      <c r="K59" t="n">
        <v>0</v>
      </c>
      <c r="L59" t="n">
        <v>0</v>
      </c>
      <c r="M59" t="n">
        <v>0</v>
      </c>
      <c r="N59" t="n">
        <v>0</v>
      </c>
      <c r="O59" t="n">
        <v>0</v>
      </c>
      <c r="P59" t="n">
        <v>0</v>
      </c>
      <c r="Q59" t="n">
        <v>0</v>
      </c>
      <c r="R59" t="n">
        <v>0</v>
      </c>
      <c r="S59" t="n">
        <v>0</v>
      </c>
      <c r="T59" t="n">
        <v>0</v>
      </c>
      <c r="U59" s="2" t="inlineStr"/>
    </row>
    <row r="60" ht="15" customHeight="1">
      <c r="A60" t="inlineStr">
        <is>
          <t>A 49621-2025</t>
        </is>
      </c>
      <c r="B60" t="inlineStr">
        <is>
          <t>avverkningsanmälan</t>
        </is>
      </c>
      <c r="C60" t="inlineStr">
        <is>
          <t>Föryngringsavverkning</t>
        </is>
      </c>
      <c r="D60" s="1" t="n">
        <v>45939</v>
      </c>
      <c r="E60" s="1" t="n">
        <v>46218</v>
      </c>
      <c r="F60" t="inlineStr">
        <is>
          <t>VÄSTRA GÖTALANDS LÄN</t>
        </is>
      </c>
      <c r="G60" t="inlineStr">
        <is>
          <t>STENUNGSUND</t>
        </is>
      </c>
      <c r="I60" t="n">
        <v>3.3</v>
      </c>
      <c r="J60" t="n">
        <v>0</v>
      </c>
      <c r="K60" t="n">
        <v>0</v>
      </c>
      <c r="L60" t="n">
        <v>0</v>
      </c>
      <c r="M60" t="n">
        <v>0</v>
      </c>
      <c r="N60" t="n">
        <v>0</v>
      </c>
      <c r="O60" t="n">
        <v>0</v>
      </c>
      <c r="P60" t="n">
        <v>0</v>
      </c>
      <c r="Q60" t="n">
        <v>0</v>
      </c>
      <c r="R60" t="n">
        <v>0</v>
      </c>
      <c r="S60" t="n">
        <v>0</v>
      </c>
      <c r="T60" t="n">
        <v>0</v>
      </c>
      <c r="U60" s="2" t="inlineStr"/>
    </row>
    <row r="61" ht="15" customHeight="1">
      <c r="A61" t="inlineStr">
        <is>
          <t>A 50205-2025</t>
        </is>
      </c>
      <c r="B61" t="inlineStr">
        <is>
          <t>avverkningsanmälan</t>
        </is>
      </c>
      <c r="C61" t="inlineStr">
        <is>
          <t>Föryngringsavverkning</t>
        </is>
      </c>
      <c r="D61" s="1" t="n">
        <v>45943</v>
      </c>
      <c r="E61" s="1" t="n">
        <v>46218</v>
      </c>
      <c r="F61" t="inlineStr">
        <is>
          <t>VÄSTRA GÖTALANDS LÄN</t>
        </is>
      </c>
      <c r="G61" t="inlineStr">
        <is>
          <t>STENUNGSUND</t>
        </is>
      </c>
      <c r="I61" t="n">
        <v>3.6</v>
      </c>
      <c r="J61" t="n">
        <v>0</v>
      </c>
      <c r="K61" t="n">
        <v>0</v>
      </c>
      <c r="L61" t="n">
        <v>0</v>
      </c>
      <c r="M61" t="n">
        <v>0</v>
      </c>
      <c r="N61" t="n">
        <v>0</v>
      </c>
      <c r="O61" t="n">
        <v>0</v>
      </c>
      <c r="P61" t="n">
        <v>0</v>
      </c>
      <c r="Q61" t="n">
        <v>0</v>
      </c>
      <c r="R61" t="n">
        <v>0</v>
      </c>
      <c r="S61" t="n">
        <v>0</v>
      </c>
      <c r="T61" t="n">
        <v>0</v>
      </c>
      <c r="U61" s="2" t="inlineStr"/>
    </row>
    <row r="62" ht="15" customHeight="1">
      <c r="A62" t="inlineStr">
        <is>
          <t>A 8567-2023</t>
        </is>
      </c>
      <c r="B62" t="inlineStr">
        <is>
          <t>avverkningsanmälan</t>
        </is>
      </c>
      <c r="C62" t="inlineStr">
        <is>
          <t>Föryngringsavverkning</t>
        </is>
      </c>
      <c r="D62" s="1" t="n">
        <v>44977</v>
      </c>
      <c r="E62" s="1" t="n">
        <v>46218</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s="2" t="inlineStr"/>
    </row>
    <row r="63" ht="15" customHeight="1">
      <c r="A63" t="inlineStr">
        <is>
          <t>A 50491-2025</t>
        </is>
      </c>
      <c r="B63" t="inlineStr">
        <is>
          <t>avverkningsanmälan</t>
        </is>
      </c>
      <c r="C63" t="inlineStr">
        <is>
          <t>Föryngringsavverkning</t>
        </is>
      </c>
      <c r="D63" s="1" t="n">
        <v>45945</v>
      </c>
      <c r="E63" s="1" t="n">
        <v>46218</v>
      </c>
      <c r="F63" t="inlineStr">
        <is>
          <t>VÄSTRA GÖTALANDS LÄN</t>
        </is>
      </c>
      <c r="G63" t="inlineStr">
        <is>
          <t>STENUNGSUND</t>
        </is>
      </c>
      <c r="I63" t="n">
        <v>0.9</v>
      </c>
      <c r="J63" t="n">
        <v>0</v>
      </c>
      <c r="K63" t="n">
        <v>0</v>
      </c>
      <c r="L63" t="n">
        <v>0</v>
      </c>
      <c r="M63" t="n">
        <v>0</v>
      </c>
      <c r="N63" t="n">
        <v>0</v>
      </c>
      <c r="O63" t="n">
        <v>0</v>
      </c>
      <c r="P63" t="n">
        <v>0</v>
      </c>
      <c r="Q63" t="n">
        <v>0</v>
      </c>
      <c r="R63" t="n">
        <v>0</v>
      </c>
      <c r="S63" t="n">
        <v>0</v>
      </c>
      <c r="T63" t="n">
        <v>0</v>
      </c>
      <c r="U63" s="2" t="inlineStr"/>
    </row>
    <row r="64" ht="15" customHeight="1">
      <c r="A64" t="inlineStr">
        <is>
          <t>A 50538-2025</t>
        </is>
      </c>
      <c r="B64" t="inlineStr">
        <is>
          <t>avverkningsanmälan</t>
        </is>
      </c>
      <c r="C64" t="inlineStr">
        <is>
          <t>Föryngringsavverkning</t>
        </is>
      </c>
      <c r="D64" s="1" t="n">
        <v>45945</v>
      </c>
      <c r="E64" s="1" t="n">
        <v>46218</v>
      </c>
      <c r="F64" t="inlineStr">
        <is>
          <t>VÄSTRA GÖTALANDS LÄN</t>
        </is>
      </c>
      <c r="G64" t="inlineStr">
        <is>
          <t>STENUNGSUND</t>
        </is>
      </c>
      <c r="I64" t="n">
        <v>3.8</v>
      </c>
      <c r="J64" t="n">
        <v>0</v>
      </c>
      <c r="K64" t="n">
        <v>0</v>
      </c>
      <c r="L64" t="n">
        <v>0</v>
      </c>
      <c r="M64" t="n">
        <v>0</v>
      </c>
      <c r="N64" t="n">
        <v>0</v>
      </c>
      <c r="O64" t="n">
        <v>0</v>
      </c>
      <c r="P64" t="n">
        <v>0</v>
      </c>
      <c r="Q64" t="n">
        <v>0</v>
      </c>
      <c r="R64" t="n">
        <v>0</v>
      </c>
      <c r="S64" t="n">
        <v>0</v>
      </c>
      <c r="T64" t="n">
        <v>0</v>
      </c>
      <c r="U64" s="2" t="inlineStr"/>
    </row>
    <row r="65" ht="15" customHeight="1">
      <c r="A65" t="inlineStr">
        <is>
          <t>A 50543-2025</t>
        </is>
      </c>
      <c r="B65" t="inlineStr">
        <is>
          <t>avverkningsanmälan</t>
        </is>
      </c>
      <c r="C65" t="inlineStr">
        <is>
          <t>Föryngringsavverkning</t>
        </is>
      </c>
      <c r="D65" s="1" t="n">
        <v>45945</v>
      </c>
      <c r="E65" s="1" t="n">
        <v>46218</v>
      </c>
      <c r="F65" t="inlineStr">
        <is>
          <t>VÄSTRA GÖTALANDS LÄN</t>
        </is>
      </c>
      <c r="G65" t="inlineStr">
        <is>
          <t>STENUNGSUND</t>
        </is>
      </c>
      <c r="I65" t="n">
        <v>0.8</v>
      </c>
      <c r="J65" t="n">
        <v>0</v>
      </c>
      <c r="K65" t="n">
        <v>0</v>
      </c>
      <c r="L65" t="n">
        <v>0</v>
      </c>
      <c r="M65" t="n">
        <v>0</v>
      </c>
      <c r="N65" t="n">
        <v>0</v>
      </c>
      <c r="O65" t="n">
        <v>0</v>
      </c>
      <c r="P65" t="n">
        <v>0</v>
      </c>
      <c r="Q65" t="n">
        <v>0</v>
      </c>
      <c r="R65" t="n">
        <v>0</v>
      </c>
      <c r="S65" t="n">
        <v>0</v>
      </c>
      <c r="T65" t="n">
        <v>0</v>
      </c>
      <c r="U65" s="2" t="inlineStr"/>
    </row>
    <row r="66" ht="15" customHeight="1">
      <c r="A66" t="inlineStr">
        <is>
          <t>A 33950-2023</t>
        </is>
      </c>
      <c r="B66" t="inlineStr">
        <is>
          <t>avverkningsanmälan</t>
        </is>
      </c>
      <c r="C66" t="inlineStr">
        <is>
          <t>Föryngringsavverkning</t>
        </is>
      </c>
      <c r="D66" s="1" t="n">
        <v>45134</v>
      </c>
      <c r="E66" s="1" t="n">
        <v>46218</v>
      </c>
      <c r="F66" t="inlineStr">
        <is>
          <t>VÄSTRA GÖTALANDS LÄN</t>
        </is>
      </c>
      <c r="G66" t="inlineStr">
        <is>
          <t>STENUNGSUND</t>
        </is>
      </c>
      <c r="I66" t="n">
        <v>1.7</v>
      </c>
      <c r="J66" t="n">
        <v>0</v>
      </c>
      <c r="K66" t="n">
        <v>0</v>
      </c>
      <c r="L66" t="n">
        <v>0</v>
      </c>
      <c r="M66" t="n">
        <v>0</v>
      </c>
      <c r="N66" t="n">
        <v>0</v>
      </c>
      <c r="O66" t="n">
        <v>0</v>
      </c>
      <c r="P66" t="n">
        <v>0</v>
      </c>
      <c r="Q66" t="n">
        <v>0</v>
      </c>
      <c r="R66" t="n">
        <v>0</v>
      </c>
      <c r="S66" t="n">
        <v>0</v>
      </c>
      <c r="T66" t="n">
        <v>0</v>
      </c>
      <c r="U66" s="2" t="inlineStr"/>
    </row>
    <row r="67" ht="15" customHeight="1">
      <c r="A67" t="inlineStr">
        <is>
          <t>A 51450-2025</t>
        </is>
      </c>
      <c r="B67" t="inlineStr">
        <is>
          <t>avverkningsanmälan</t>
        </is>
      </c>
      <c r="C67" t="inlineStr">
        <is>
          <t>Föryngringsavverkning</t>
        </is>
      </c>
      <c r="D67" s="1" t="n">
        <v>45950</v>
      </c>
      <c r="E67" s="1" t="n">
        <v>46218</v>
      </c>
      <c r="F67" t="inlineStr">
        <is>
          <t>VÄSTRA GÖTALANDS LÄN</t>
        </is>
      </c>
      <c r="G67" t="inlineStr">
        <is>
          <t>STENUNGSUND</t>
        </is>
      </c>
      <c r="I67" t="n">
        <v>0.9</v>
      </c>
      <c r="J67" t="n">
        <v>0</v>
      </c>
      <c r="K67" t="n">
        <v>0</v>
      </c>
      <c r="L67" t="n">
        <v>0</v>
      </c>
      <c r="M67" t="n">
        <v>0</v>
      </c>
      <c r="N67" t="n">
        <v>0</v>
      </c>
      <c r="O67" t="n">
        <v>0</v>
      </c>
      <c r="P67" t="n">
        <v>0</v>
      </c>
      <c r="Q67" t="n">
        <v>0</v>
      </c>
      <c r="R67" t="n">
        <v>0</v>
      </c>
      <c r="S67" t="n">
        <v>0</v>
      </c>
      <c r="T67" t="n">
        <v>0</v>
      </c>
      <c r="U67" s="2" t="inlineStr"/>
    </row>
    <row r="68" ht="15" customHeight="1">
      <c r="A68" t="inlineStr">
        <is>
          <t>A 3570-2023</t>
        </is>
      </c>
      <c r="B68" t="inlineStr">
        <is>
          <t>avverkningsanmälan</t>
        </is>
      </c>
      <c r="C68" t="inlineStr">
        <is>
          <t>Föryngringsavverkning</t>
        </is>
      </c>
      <c r="D68" s="1" t="n">
        <v>44950</v>
      </c>
      <c r="E68" s="1" t="n">
        <v>46218</v>
      </c>
      <c r="F68" t="inlineStr">
        <is>
          <t>VÄSTRA GÖTALANDS LÄN</t>
        </is>
      </c>
      <c r="G68" t="inlineStr">
        <is>
          <t>STENUNGSUND</t>
        </is>
      </c>
      <c r="I68" t="n">
        <v>4.1</v>
      </c>
      <c r="J68" t="n">
        <v>0</v>
      </c>
      <c r="K68" t="n">
        <v>0</v>
      </c>
      <c r="L68" t="n">
        <v>0</v>
      </c>
      <c r="M68" t="n">
        <v>0</v>
      </c>
      <c r="N68" t="n">
        <v>0</v>
      </c>
      <c r="O68" t="n">
        <v>0</v>
      </c>
      <c r="P68" t="n">
        <v>0</v>
      </c>
      <c r="Q68" t="n">
        <v>0</v>
      </c>
      <c r="R68" t="n">
        <v>0</v>
      </c>
      <c r="S68" t="n">
        <v>0</v>
      </c>
      <c r="T68" t="n">
        <v>0</v>
      </c>
      <c r="U68" s="2" t="inlineStr"/>
    </row>
    <row r="69" ht="15" customHeight="1">
      <c r="A69" t="inlineStr">
        <is>
          <t>A 52012-2025</t>
        </is>
      </c>
      <c r="B69" t="inlineStr">
        <is>
          <t>avverkningsanmälan</t>
        </is>
      </c>
      <c r="C69" t="inlineStr">
        <is>
          <t>Föryngringsavverkning</t>
        </is>
      </c>
      <c r="D69" s="1" t="n">
        <v>45952</v>
      </c>
      <c r="E69" s="1" t="n">
        <v>46218</v>
      </c>
      <c r="F69" t="inlineStr">
        <is>
          <t>VÄSTRA GÖTALANDS LÄN</t>
        </is>
      </c>
      <c r="G69" t="inlineStr">
        <is>
          <t>STENUNGSUND</t>
        </is>
      </c>
      <c r="I69" t="n">
        <v>1.2</v>
      </c>
      <c r="J69" t="n">
        <v>0</v>
      </c>
      <c r="K69" t="n">
        <v>0</v>
      </c>
      <c r="L69" t="n">
        <v>0</v>
      </c>
      <c r="M69" t="n">
        <v>0</v>
      </c>
      <c r="N69" t="n">
        <v>0</v>
      </c>
      <c r="O69" t="n">
        <v>0</v>
      </c>
      <c r="P69" t="n">
        <v>0</v>
      </c>
      <c r="Q69" t="n">
        <v>0</v>
      </c>
      <c r="R69" t="n">
        <v>0</v>
      </c>
      <c r="S69" t="n">
        <v>0</v>
      </c>
      <c r="T69" t="n">
        <v>0</v>
      </c>
      <c r="U69" s="2" t="inlineStr"/>
    </row>
    <row r="70" ht="15" customHeight="1">
      <c r="A70" t="inlineStr">
        <is>
          <t>A 48895-2023</t>
        </is>
      </c>
      <c r="B70" t="inlineStr">
        <is>
          <t>avverkningsanmälan</t>
        </is>
      </c>
      <c r="C70" t="inlineStr">
        <is>
          <t>Föryngringsavverkning</t>
        </is>
      </c>
      <c r="D70" s="1" t="n">
        <v>45209</v>
      </c>
      <c r="E70" s="1" t="n">
        <v>46218</v>
      </c>
      <c r="F70" t="inlineStr">
        <is>
          <t>VÄSTRA GÖTALANDS LÄN</t>
        </is>
      </c>
      <c r="G70" t="inlineStr">
        <is>
          <t>STENUNGSUND</t>
        </is>
      </c>
      <c r="I70" t="n">
        <v>3.1</v>
      </c>
      <c r="J70" t="n">
        <v>0</v>
      </c>
      <c r="K70" t="n">
        <v>0</v>
      </c>
      <c r="L70" t="n">
        <v>0</v>
      </c>
      <c r="M70" t="n">
        <v>0</v>
      </c>
      <c r="N70" t="n">
        <v>0</v>
      </c>
      <c r="O70" t="n">
        <v>0</v>
      </c>
      <c r="P70" t="n">
        <v>0</v>
      </c>
      <c r="Q70" t="n">
        <v>0</v>
      </c>
      <c r="R70" t="n">
        <v>0</v>
      </c>
      <c r="S70" t="n">
        <v>0</v>
      </c>
      <c r="T70" t="n">
        <v>0</v>
      </c>
      <c r="U70" s="2" t="inlineStr"/>
    </row>
    <row r="71" ht="15" customHeight="1">
      <c r="A71" t="inlineStr">
        <is>
          <t>A 60158-2024</t>
        </is>
      </c>
      <c r="B71" t="inlineStr">
        <is>
          <t>avverkningsanmälan</t>
        </is>
      </c>
      <c r="C71" t="inlineStr">
        <is>
          <t>Föryngringsavverkning</t>
        </is>
      </c>
      <c r="D71" s="1" t="n">
        <v>45642</v>
      </c>
      <c r="E71" s="1" t="n">
        <v>46218</v>
      </c>
      <c r="F71" t="inlineStr">
        <is>
          <t>VÄSTRA GÖTALANDS LÄN</t>
        </is>
      </c>
      <c r="G71" t="inlineStr">
        <is>
          <t>STENUNGSUND</t>
        </is>
      </c>
      <c r="I71" t="n">
        <v>4.4</v>
      </c>
      <c r="J71" t="n">
        <v>0</v>
      </c>
      <c r="K71" t="n">
        <v>0</v>
      </c>
      <c r="L71" t="n">
        <v>0</v>
      </c>
      <c r="M71" t="n">
        <v>0</v>
      </c>
      <c r="N71" t="n">
        <v>0</v>
      </c>
      <c r="O71" t="n">
        <v>0</v>
      </c>
      <c r="P71" t="n">
        <v>0</v>
      </c>
      <c r="Q71" t="n">
        <v>0</v>
      </c>
      <c r="R71" t="n">
        <v>0</v>
      </c>
      <c r="S71" t="n">
        <v>0</v>
      </c>
      <c r="T71" t="n">
        <v>0</v>
      </c>
      <c r="U71" s="2" t="inlineStr"/>
    </row>
    <row r="72" ht="15" customHeight="1">
      <c r="A72" t="inlineStr">
        <is>
          <t>A 72944-2021</t>
        </is>
      </c>
      <c r="B72" t="inlineStr">
        <is>
          <t>avverkningsanmälan</t>
        </is>
      </c>
      <c r="C72" t="inlineStr">
        <is>
          <t>Föryngringsavverkning</t>
        </is>
      </c>
      <c r="D72" s="1" t="n">
        <v>44547</v>
      </c>
      <c r="E72" s="1" t="n">
        <v>46218</v>
      </c>
      <c r="F72" t="inlineStr">
        <is>
          <t>VÄSTRA GÖTALANDS LÄN</t>
        </is>
      </c>
      <c r="G72" t="inlineStr">
        <is>
          <t>STENUNGSUND</t>
        </is>
      </c>
      <c r="I72" t="n">
        <v>4.2</v>
      </c>
      <c r="J72" t="n">
        <v>0</v>
      </c>
      <c r="K72" t="n">
        <v>0</v>
      </c>
      <c r="L72" t="n">
        <v>0</v>
      </c>
      <c r="M72" t="n">
        <v>0</v>
      </c>
      <c r="N72" t="n">
        <v>0</v>
      </c>
      <c r="O72" t="n">
        <v>0</v>
      </c>
      <c r="P72" t="n">
        <v>0</v>
      </c>
      <c r="Q72" t="n">
        <v>0</v>
      </c>
      <c r="R72" t="n">
        <v>0</v>
      </c>
      <c r="S72" t="n">
        <v>0</v>
      </c>
      <c r="T72" t="n">
        <v>0</v>
      </c>
      <c r="U72" s="2" t="inlineStr"/>
    </row>
    <row r="73" ht="15" customHeight="1">
      <c r="A73" t="inlineStr">
        <is>
          <t>A 54931-2024</t>
        </is>
      </c>
      <c r="B73" t="inlineStr">
        <is>
          <t>avverkningsanmälan</t>
        </is>
      </c>
      <c r="C73" t="inlineStr">
        <is>
          <t>Föryngringsavverkning</t>
        </is>
      </c>
      <c r="D73" s="1" t="n">
        <v>45618</v>
      </c>
      <c r="E73" s="1" t="n">
        <v>46218</v>
      </c>
      <c r="F73" t="inlineStr">
        <is>
          <t>VÄSTRA GÖTALANDS LÄN</t>
        </is>
      </c>
      <c r="G73" t="inlineStr">
        <is>
          <t>STENUNGSUND</t>
        </is>
      </c>
      <c r="I73" t="n">
        <v>0.5</v>
      </c>
      <c r="J73" t="n">
        <v>0</v>
      </c>
      <c r="K73" t="n">
        <v>0</v>
      </c>
      <c r="L73" t="n">
        <v>0</v>
      </c>
      <c r="M73" t="n">
        <v>0</v>
      </c>
      <c r="N73" t="n">
        <v>0</v>
      </c>
      <c r="O73" t="n">
        <v>0</v>
      </c>
      <c r="P73" t="n">
        <v>0</v>
      </c>
      <c r="Q73" t="n">
        <v>0</v>
      </c>
      <c r="R73" t="n">
        <v>0</v>
      </c>
      <c r="S73" t="n">
        <v>0</v>
      </c>
      <c r="T73" t="n">
        <v>0</v>
      </c>
      <c r="U73" s="2" t="inlineStr"/>
    </row>
    <row r="74" ht="15" customHeight="1">
      <c r="A74" t="inlineStr">
        <is>
          <t>A 19302-2025</t>
        </is>
      </c>
      <c r="B74" t="inlineStr">
        <is>
          <t>avverkningsanmälan</t>
        </is>
      </c>
      <c r="C74" t="inlineStr">
        <is>
          <t>Föryngringsavverkning</t>
        </is>
      </c>
      <c r="D74" s="1" t="n">
        <v>45769</v>
      </c>
      <c r="E74" s="1" t="n">
        <v>46218</v>
      </c>
      <c r="F74" t="inlineStr">
        <is>
          <t>VÄSTRA GÖTALANDS LÄN</t>
        </is>
      </c>
      <c r="G74" t="inlineStr">
        <is>
          <t>STENUNGSUND</t>
        </is>
      </c>
      <c r="I74" t="n">
        <v>1.2</v>
      </c>
      <c r="J74" t="n">
        <v>0</v>
      </c>
      <c r="K74" t="n">
        <v>0</v>
      </c>
      <c r="L74" t="n">
        <v>0</v>
      </c>
      <c r="M74" t="n">
        <v>0</v>
      </c>
      <c r="N74" t="n">
        <v>0</v>
      </c>
      <c r="O74" t="n">
        <v>0</v>
      </c>
      <c r="P74" t="n">
        <v>0</v>
      </c>
      <c r="Q74" t="n">
        <v>0</v>
      </c>
      <c r="R74" t="n">
        <v>0</v>
      </c>
      <c r="S74" t="n">
        <v>0</v>
      </c>
      <c r="T74" t="n">
        <v>0</v>
      </c>
      <c r="U74" s="2" t="inlineStr"/>
    </row>
    <row r="75" ht="15" customHeight="1">
      <c r="A75" t="inlineStr">
        <is>
          <t>A 54247-2025</t>
        </is>
      </c>
      <c r="B75" t="inlineStr">
        <is>
          <t>avverkningsanmälan</t>
        </is>
      </c>
      <c r="C75" t="inlineStr">
        <is>
          <t>Föryngringsavverkning</t>
        </is>
      </c>
      <c r="D75" s="1" t="n">
        <v>45964</v>
      </c>
      <c r="E75" s="1" t="n">
        <v>46218</v>
      </c>
      <c r="F75" t="inlineStr">
        <is>
          <t>VÄSTRA GÖTALANDS LÄN</t>
        </is>
      </c>
      <c r="G75" t="inlineStr">
        <is>
          <t>STENUNGSUND</t>
        </is>
      </c>
      <c r="I75" t="n">
        <v>1</v>
      </c>
      <c r="J75" t="n">
        <v>0</v>
      </c>
      <c r="K75" t="n">
        <v>0</v>
      </c>
      <c r="L75" t="n">
        <v>0</v>
      </c>
      <c r="M75" t="n">
        <v>0</v>
      </c>
      <c r="N75" t="n">
        <v>0</v>
      </c>
      <c r="O75" t="n">
        <v>0</v>
      </c>
      <c r="P75" t="n">
        <v>0</v>
      </c>
      <c r="Q75" t="n">
        <v>0</v>
      </c>
      <c r="R75" t="n">
        <v>0</v>
      </c>
      <c r="S75" t="n">
        <v>0</v>
      </c>
      <c r="T75" t="n">
        <v>0</v>
      </c>
      <c r="U75" s="2" t="inlineStr"/>
    </row>
    <row r="76" ht="15" customHeight="1">
      <c r="A76" t="inlineStr">
        <is>
          <t>A 33010-2022</t>
        </is>
      </c>
      <c r="B76" t="inlineStr">
        <is>
          <t>avverkningsanmälan</t>
        </is>
      </c>
      <c r="C76" t="inlineStr">
        <is>
          <t>Föryngringsavverkning</t>
        </is>
      </c>
      <c r="D76" s="1" t="n">
        <v>44785</v>
      </c>
      <c r="E76" s="1" t="n">
        <v>46218</v>
      </c>
      <c r="F76" t="inlineStr">
        <is>
          <t>VÄSTRA GÖTALANDS LÄN</t>
        </is>
      </c>
      <c r="G76" t="inlineStr">
        <is>
          <t>STENUNGSUND</t>
        </is>
      </c>
      <c r="I76" t="n">
        <v>3.4</v>
      </c>
      <c r="J76" t="n">
        <v>0</v>
      </c>
      <c r="K76" t="n">
        <v>0</v>
      </c>
      <c r="L76" t="n">
        <v>0</v>
      </c>
      <c r="M76" t="n">
        <v>0</v>
      </c>
      <c r="N76" t="n">
        <v>0</v>
      </c>
      <c r="O76" t="n">
        <v>0</v>
      </c>
      <c r="P76" t="n">
        <v>0</v>
      </c>
      <c r="Q76" t="n">
        <v>0</v>
      </c>
      <c r="R76" t="n">
        <v>0</v>
      </c>
      <c r="S76" t="n">
        <v>0</v>
      </c>
      <c r="T76" t="n">
        <v>0</v>
      </c>
      <c r="U76" s="2" t="inlineStr"/>
    </row>
    <row r="77" ht="15" customHeight="1">
      <c r="A77" t="inlineStr">
        <is>
          <t>A 33011-2022</t>
        </is>
      </c>
      <c r="B77" t="inlineStr">
        <is>
          <t>avverkningsanmälan</t>
        </is>
      </c>
      <c r="C77" t="inlineStr">
        <is>
          <t>Föryngringsavverkning</t>
        </is>
      </c>
      <c r="D77" s="1" t="n">
        <v>44785</v>
      </c>
      <c r="E77" s="1" t="n">
        <v>46218</v>
      </c>
      <c r="F77" t="inlineStr">
        <is>
          <t>VÄSTRA GÖTALANDS LÄN</t>
        </is>
      </c>
      <c r="G77" t="inlineStr">
        <is>
          <t>STENUNGSUND</t>
        </is>
      </c>
      <c r="I77" t="n">
        <v>2.6</v>
      </c>
      <c r="J77" t="n">
        <v>0</v>
      </c>
      <c r="K77" t="n">
        <v>0</v>
      </c>
      <c r="L77" t="n">
        <v>0</v>
      </c>
      <c r="M77" t="n">
        <v>0</v>
      </c>
      <c r="N77" t="n">
        <v>0</v>
      </c>
      <c r="O77" t="n">
        <v>0</v>
      </c>
      <c r="P77" t="n">
        <v>0</v>
      </c>
      <c r="Q77" t="n">
        <v>0</v>
      </c>
      <c r="R77" t="n">
        <v>0</v>
      </c>
      <c r="S77" t="n">
        <v>0</v>
      </c>
      <c r="T77" t="n">
        <v>0</v>
      </c>
      <c r="U77" s="2" t="inlineStr"/>
    </row>
    <row r="78" ht="15" customHeight="1">
      <c r="A78" t="inlineStr">
        <is>
          <t>A 3569-2023</t>
        </is>
      </c>
      <c r="B78" t="inlineStr">
        <is>
          <t>avverkningsanmälan</t>
        </is>
      </c>
      <c r="C78" t="inlineStr">
        <is>
          <t>Föryngringsavverkning</t>
        </is>
      </c>
      <c r="D78" s="1" t="n">
        <v>44950</v>
      </c>
      <c r="E78" s="1" t="n">
        <v>46218</v>
      </c>
      <c r="F78" t="inlineStr">
        <is>
          <t>VÄSTRA GÖTALANDS LÄN</t>
        </is>
      </c>
      <c r="G78" t="inlineStr">
        <is>
          <t>STENUNGSUND</t>
        </is>
      </c>
      <c r="I78" t="n">
        <v>2.2</v>
      </c>
      <c r="J78" t="n">
        <v>0</v>
      </c>
      <c r="K78" t="n">
        <v>0</v>
      </c>
      <c r="L78" t="n">
        <v>0</v>
      </c>
      <c r="M78" t="n">
        <v>0</v>
      </c>
      <c r="N78" t="n">
        <v>0</v>
      </c>
      <c r="O78" t="n">
        <v>0</v>
      </c>
      <c r="P78" t="n">
        <v>0</v>
      </c>
      <c r="Q78" t="n">
        <v>0</v>
      </c>
      <c r="R78" t="n">
        <v>0</v>
      </c>
      <c r="S78" t="n">
        <v>0</v>
      </c>
      <c r="T78" t="n">
        <v>0</v>
      </c>
      <c r="U78" s="2" t="inlineStr"/>
    </row>
    <row r="79" ht="15" customHeight="1">
      <c r="A79" t="inlineStr">
        <is>
          <t>A 24211-2025</t>
        </is>
      </c>
      <c r="B79" t="inlineStr">
        <is>
          <t>avverkningsanmälan</t>
        </is>
      </c>
      <c r="C79" t="inlineStr">
        <is>
          <t>Föryngringsavverkning</t>
        </is>
      </c>
      <c r="D79" s="1" t="n">
        <v>45797</v>
      </c>
      <c r="E79" s="1" t="n">
        <v>46218</v>
      </c>
      <c r="F79" t="inlineStr">
        <is>
          <t>VÄSTRA GÖTALANDS LÄN</t>
        </is>
      </c>
      <c r="G79" t="inlineStr">
        <is>
          <t>STENUNGSUND</t>
        </is>
      </c>
      <c r="I79" t="n">
        <v>1.4</v>
      </c>
      <c r="J79" t="n">
        <v>0</v>
      </c>
      <c r="K79" t="n">
        <v>0</v>
      </c>
      <c r="L79" t="n">
        <v>0</v>
      </c>
      <c r="M79" t="n">
        <v>0</v>
      </c>
      <c r="N79" t="n">
        <v>0</v>
      </c>
      <c r="O79" t="n">
        <v>0</v>
      </c>
      <c r="P79" t="n">
        <v>0</v>
      </c>
      <c r="Q79" t="n">
        <v>0</v>
      </c>
      <c r="R79" t="n">
        <v>0</v>
      </c>
      <c r="S79" t="n">
        <v>0</v>
      </c>
      <c r="T79" t="n">
        <v>0</v>
      </c>
      <c r="U79" s="2" t="inlineStr"/>
    </row>
    <row r="80" ht="15" customHeight="1">
      <c r="A80" t="inlineStr">
        <is>
          <t>A 8948-2022</t>
        </is>
      </c>
      <c r="B80" t="inlineStr">
        <is>
          <t>avverkningsanmälan</t>
        </is>
      </c>
      <c r="C80" t="inlineStr">
        <is>
          <t>Avverkning för annat ändamål</t>
        </is>
      </c>
      <c r="D80" s="1" t="n">
        <v>44614</v>
      </c>
      <c r="E80" s="1" t="n">
        <v>46218</v>
      </c>
      <c r="F80" t="inlineStr">
        <is>
          <t>VÄSTRA GÖTALANDS LÄN</t>
        </is>
      </c>
      <c r="G80" t="inlineStr">
        <is>
          <t>STENUNGSUND</t>
        </is>
      </c>
      <c r="I80" t="n">
        <v>0.6</v>
      </c>
      <c r="J80" t="n">
        <v>0</v>
      </c>
      <c r="K80" t="n">
        <v>0</v>
      </c>
      <c r="L80" t="n">
        <v>0</v>
      </c>
      <c r="M80" t="n">
        <v>0</v>
      </c>
      <c r="N80" t="n">
        <v>0</v>
      </c>
      <c r="O80" t="n">
        <v>0</v>
      </c>
      <c r="P80" t="n">
        <v>0</v>
      </c>
      <c r="Q80" t="n">
        <v>0</v>
      </c>
      <c r="R80" t="n">
        <v>0</v>
      </c>
      <c r="S80" t="n">
        <v>0</v>
      </c>
      <c r="T80" t="n">
        <v>0</v>
      </c>
      <c r="U80" s="2" t="inlineStr"/>
    </row>
    <row r="81" ht="15" customHeight="1">
      <c r="A81" t="inlineStr">
        <is>
          <t>A 8544-2023</t>
        </is>
      </c>
      <c r="B81" t="inlineStr">
        <is>
          <t>avverkningsanmälan</t>
        </is>
      </c>
      <c r="C81" t="inlineStr">
        <is>
          <t>Föryngringsavverkning</t>
        </is>
      </c>
      <c r="D81" s="1" t="n">
        <v>44977</v>
      </c>
      <c r="E81" s="1" t="n">
        <v>46218</v>
      </c>
      <c r="F81" t="inlineStr">
        <is>
          <t>VÄSTRA GÖTALANDS LÄN</t>
        </is>
      </c>
      <c r="G81" t="inlineStr">
        <is>
          <t>STENUNGSUND</t>
        </is>
      </c>
      <c r="I81" t="n">
        <v>8.199999999999999</v>
      </c>
      <c r="J81" t="n">
        <v>0</v>
      </c>
      <c r="K81" t="n">
        <v>0</v>
      </c>
      <c r="L81" t="n">
        <v>0</v>
      </c>
      <c r="M81" t="n">
        <v>0</v>
      </c>
      <c r="N81" t="n">
        <v>0</v>
      </c>
      <c r="O81" t="n">
        <v>0</v>
      </c>
      <c r="P81" t="n">
        <v>0</v>
      </c>
      <c r="Q81" t="n">
        <v>0</v>
      </c>
      <c r="R81" t="n">
        <v>0</v>
      </c>
      <c r="S81" t="n">
        <v>0</v>
      </c>
      <c r="T81" t="n">
        <v>0</v>
      </c>
      <c r="U81" s="2" t="inlineStr"/>
    </row>
    <row r="82" ht="15" customHeight="1">
      <c r="A82" t="inlineStr">
        <is>
          <t>A 30175-2022</t>
        </is>
      </c>
      <c r="B82" t="inlineStr">
        <is>
          <t>avverkningsanmälan</t>
        </is>
      </c>
      <c r="C82" t="inlineStr">
        <is>
          <t>Föryngringsavverkning</t>
        </is>
      </c>
      <c r="D82" s="1" t="n">
        <v>44757</v>
      </c>
      <c r="E82" s="1" t="n">
        <v>46218</v>
      </c>
      <c r="F82" t="inlineStr">
        <is>
          <t>VÄSTRA GÖTALANDS LÄN</t>
        </is>
      </c>
      <c r="G82" t="inlineStr">
        <is>
          <t>STENUNGSUND</t>
        </is>
      </c>
      <c r="I82" t="n">
        <v>2.2</v>
      </c>
      <c r="J82" t="n">
        <v>0</v>
      </c>
      <c r="K82" t="n">
        <v>0</v>
      </c>
      <c r="L82" t="n">
        <v>0</v>
      </c>
      <c r="M82" t="n">
        <v>0</v>
      </c>
      <c r="N82" t="n">
        <v>0</v>
      </c>
      <c r="O82" t="n">
        <v>0</v>
      </c>
      <c r="P82" t="n">
        <v>0</v>
      </c>
      <c r="Q82" t="n">
        <v>0</v>
      </c>
      <c r="R82" t="n">
        <v>0</v>
      </c>
      <c r="S82" t="n">
        <v>0</v>
      </c>
      <c r="T82" t="n">
        <v>0</v>
      </c>
      <c r="U82" s="2" t="inlineStr"/>
    </row>
    <row r="83" ht="15" customHeight="1">
      <c r="A83" t="inlineStr">
        <is>
          <t>A 40950-2023</t>
        </is>
      </c>
      <c r="B83" t="inlineStr">
        <is>
          <t>avverkningsanmälan</t>
        </is>
      </c>
      <c r="C83" t="inlineStr">
        <is>
          <t>Föryngringsavverkning</t>
        </is>
      </c>
      <c r="D83" s="1" t="n">
        <v>45173</v>
      </c>
      <c r="E83" s="1" t="n">
        <v>46218</v>
      </c>
      <c r="F83" t="inlineStr">
        <is>
          <t>VÄSTRA GÖTALANDS LÄN</t>
        </is>
      </c>
      <c r="G83" t="inlineStr">
        <is>
          <t>STENUNGSUND</t>
        </is>
      </c>
      <c r="I83" t="n">
        <v>6.3</v>
      </c>
      <c r="J83" t="n">
        <v>0</v>
      </c>
      <c r="K83" t="n">
        <v>0</v>
      </c>
      <c r="L83" t="n">
        <v>0</v>
      </c>
      <c r="M83" t="n">
        <v>0</v>
      </c>
      <c r="N83" t="n">
        <v>0</v>
      </c>
      <c r="O83" t="n">
        <v>0</v>
      </c>
      <c r="P83" t="n">
        <v>0</v>
      </c>
      <c r="Q83" t="n">
        <v>0</v>
      </c>
      <c r="R83" t="n">
        <v>0</v>
      </c>
      <c r="S83" t="n">
        <v>0</v>
      </c>
      <c r="T83" t="n">
        <v>0</v>
      </c>
      <c r="U83" s="2" t="inlineStr"/>
    </row>
    <row r="84" ht="15" customHeight="1">
      <c r="A84" t="inlineStr">
        <is>
          <t>A 60832-2024</t>
        </is>
      </c>
      <c r="B84" t="inlineStr">
        <is>
          <t>avverkningsanmälan</t>
        </is>
      </c>
      <c r="C84" t="inlineStr">
        <is>
          <t>Föryngringsavverkning</t>
        </is>
      </c>
      <c r="D84" s="1" t="n">
        <v>45644</v>
      </c>
      <c r="E84" s="1" t="n">
        <v>46218</v>
      </c>
      <c r="F84" t="inlineStr">
        <is>
          <t>VÄSTRA GÖTALANDS LÄN</t>
        </is>
      </c>
      <c r="G84" t="inlineStr">
        <is>
          <t>STENUNGSUND</t>
        </is>
      </c>
      <c r="I84" t="n">
        <v>2.8</v>
      </c>
      <c r="J84" t="n">
        <v>0</v>
      </c>
      <c r="K84" t="n">
        <v>0</v>
      </c>
      <c r="L84" t="n">
        <v>0</v>
      </c>
      <c r="M84" t="n">
        <v>0</v>
      </c>
      <c r="N84" t="n">
        <v>0</v>
      </c>
      <c r="O84" t="n">
        <v>0</v>
      </c>
      <c r="P84" t="n">
        <v>0</v>
      </c>
      <c r="Q84" t="n">
        <v>0</v>
      </c>
      <c r="R84" t="n">
        <v>0</v>
      </c>
      <c r="S84" t="n">
        <v>0</v>
      </c>
      <c r="T84" t="n">
        <v>0</v>
      </c>
      <c r="U84" s="2" t="inlineStr"/>
    </row>
    <row r="85" ht="15" customHeight="1">
      <c r="A85" t="inlineStr">
        <is>
          <t>A 51367-2024</t>
        </is>
      </c>
      <c r="B85" t="inlineStr">
        <is>
          <t>avverkningsanmälan</t>
        </is>
      </c>
      <c r="C85" t="inlineStr">
        <is>
          <t>Föryngringsavverkning</t>
        </is>
      </c>
      <c r="D85" s="1" t="n">
        <v>45604</v>
      </c>
      <c r="E85" s="1" t="n">
        <v>46218</v>
      </c>
      <c r="F85" t="inlineStr">
        <is>
          <t>VÄSTRA GÖTALANDS LÄN</t>
        </is>
      </c>
      <c r="G85" t="inlineStr">
        <is>
          <t>STENUNGSUND</t>
        </is>
      </c>
      <c r="I85" t="n">
        <v>3</v>
      </c>
      <c r="J85" t="n">
        <v>0</v>
      </c>
      <c r="K85" t="n">
        <v>0</v>
      </c>
      <c r="L85" t="n">
        <v>0</v>
      </c>
      <c r="M85" t="n">
        <v>0</v>
      </c>
      <c r="N85" t="n">
        <v>0</v>
      </c>
      <c r="O85" t="n">
        <v>0</v>
      </c>
      <c r="P85" t="n">
        <v>0</v>
      </c>
      <c r="Q85" t="n">
        <v>0</v>
      </c>
      <c r="R85" t="n">
        <v>0</v>
      </c>
      <c r="S85" t="n">
        <v>0</v>
      </c>
      <c r="T85" t="n">
        <v>0</v>
      </c>
      <c r="U85" s="2" t="inlineStr"/>
    </row>
    <row r="86" ht="15" customHeight="1">
      <c r="A86" t="inlineStr">
        <is>
          <t>A 48365-2024</t>
        </is>
      </c>
      <c r="B86" t="inlineStr">
        <is>
          <t>avverkningsanmälan</t>
        </is>
      </c>
      <c r="C86" t="inlineStr">
        <is>
          <t>Föryngringsavverkning</t>
        </is>
      </c>
      <c r="D86" s="1" t="n">
        <v>45590</v>
      </c>
      <c r="E86" s="1" t="n">
        <v>46218</v>
      </c>
      <c r="F86" t="inlineStr">
        <is>
          <t>VÄSTRA GÖTALANDS LÄN</t>
        </is>
      </c>
      <c r="G86" t="inlineStr">
        <is>
          <t>STENUNGSUND</t>
        </is>
      </c>
      <c r="I86" t="n">
        <v>2.3</v>
      </c>
      <c r="J86" t="n">
        <v>0</v>
      </c>
      <c r="K86" t="n">
        <v>0</v>
      </c>
      <c r="L86" t="n">
        <v>0</v>
      </c>
      <c r="M86" t="n">
        <v>0</v>
      </c>
      <c r="N86" t="n">
        <v>0</v>
      </c>
      <c r="O86" t="n">
        <v>0</v>
      </c>
      <c r="P86" t="n">
        <v>0</v>
      </c>
      <c r="Q86" t="n">
        <v>0</v>
      </c>
      <c r="R86" t="n">
        <v>0</v>
      </c>
      <c r="S86" t="n">
        <v>0</v>
      </c>
      <c r="T86" t="n">
        <v>0</v>
      </c>
      <c r="U86" s="2" t="inlineStr"/>
    </row>
    <row r="87" ht="15" customHeight="1">
      <c r="A87" t="inlineStr">
        <is>
          <t>A 2412-2024</t>
        </is>
      </c>
      <c r="B87" t="inlineStr">
        <is>
          <t>avverkningsanmälan</t>
        </is>
      </c>
      <c r="C87" t="inlineStr">
        <is>
          <t>Föryngringsavverkning</t>
        </is>
      </c>
      <c r="D87" s="1" t="n">
        <v>45310</v>
      </c>
      <c r="E87" s="1" t="n">
        <v>46218</v>
      </c>
      <c r="F87" t="inlineStr">
        <is>
          <t>VÄSTRA GÖTALANDS LÄN</t>
        </is>
      </c>
      <c r="G87" t="inlineStr">
        <is>
          <t>STENUNGSUND</t>
        </is>
      </c>
      <c r="I87" t="n">
        <v>1.1</v>
      </c>
      <c r="J87" t="n">
        <v>0</v>
      </c>
      <c r="K87" t="n">
        <v>0</v>
      </c>
      <c r="L87" t="n">
        <v>0</v>
      </c>
      <c r="M87" t="n">
        <v>0</v>
      </c>
      <c r="N87" t="n">
        <v>0</v>
      </c>
      <c r="O87" t="n">
        <v>0</v>
      </c>
      <c r="P87" t="n">
        <v>0</v>
      </c>
      <c r="Q87" t="n">
        <v>0</v>
      </c>
      <c r="R87" t="n">
        <v>0</v>
      </c>
      <c r="S87" t="n">
        <v>0</v>
      </c>
      <c r="T87" t="n">
        <v>0</v>
      </c>
      <c r="U87" s="2" t="inlineStr"/>
    </row>
    <row r="88" ht="15" customHeight="1">
      <c r="A88" t="inlineStr">
        <is>
          <t>A 4734-2023</t>
        </is>
      </c>
      <c r="B88" t="inlineStr">
        <is>
          <t>avverkningsanmälan</t>
        </is>
      </c>
      <c r="C88" t="inlineStr">
        <is>
          <t>Föryngringsavverkning</t>
        </is>
      </c>
      <c r="D88" s="1" t="n">
        <v>44957</v>
      </c>
      <c r="E88" s="1" t="n">
        <v>46218</v>
      </c>
      <c r="F88" t="inlineStr">
        <is>
          <t>VÄSTRA GÖTALANDS LÄN</t>
        </is>
      </c>
      <c r="G88" t="inlineStr">
        <is>
          <t>STENUNGSUND</t>
        </is>
      </c>
      <c r="I88" t="n">
        <v>1.1</v>
      </c>
      <c r="J88" t="n">
        <v>0</v>
      </c>
      <c r="K88" t="n">
        <v>0</v>
      </c>
      <c r="L88" t="n">
        <v>0</v>
      </c>
      <c r="M88" t="n">
        <v>0</v>
      </c>
      <c r="N88" t="n">
        <v>0</v>
      </c>
      <c r="O88" t="n">
        <v>0</v>
      </c>
      <c r="P88" t="n">
        <v>0</v>
      </c>
      <c r="Q88" t="n">
        <v>0</v>
      </c>
      <c r="R88" t="n">
        <v>0</v>
      </c>
      <c r="S88" t="n">
        <v>0</v>
      </c>
      <c r="T88" t="n">
        <v>0</v>
      </c>
      <c r="U88" s="2" t="inlineStr"/>
    </row>
    <row r="89" ht="15" customHeight="1">
      <c r="A89" t="inlineStr">
        <is>
          <t>A 9893-2025</t>
        </is>
      </c>
      <c r="B89" t="inlineStr">
        <is>
          <t>avverkningsanmälan</t>
        </is>
      </c>
      <c r="C89" t="inlineStr">
        <is>
          <t>Föryngringsavverkning</t>
        </is>
      </c>
      <c r="D89" s="1" t="n">
        <v>45716</v>
      </c>
      <c r="E89" s="1" t="n">
        <v>46218</v>
      </c>
      <c r="F89" t="inlineStr">
        <is>
          <t>VÄSTRA GÖTALANDS LÄN</t>
        </is>
      </c>
      <c r="G89" t="inlineStr">
        <is>
          <t>STENUNGSUND</t>
        </is>
      </c>
      <c r="I89" t="n">
        <v>3.2</v>
      </c>
      <c r="J89" t="n">
        <v>0</v>
      </c>
      <c r="K89" t="n">
        <v>0</v>
      </c>
      <c r="L89" t="n">
        <v>0</v>
      </c>
      <c r="M89" t="n">
        <v>0</v>
      </c>
      <c r="N89" t="n">
        <v>0</v>
      </c>
      <c r="O89" t="n">
        <v>0</v>
      </c>
      <c r="P89" t="n">
        <v>0</v>
      </c>
      <c r="Q89" t="n">
        <v>0</v>
      </c>
      <c r="R89" t="n">
        <v>0</v>
      </c>
      <c r="S89" t="n">
        <v>0</v>
      </c>
      <c r="T89" t="n">
        <v>0</v>
      </c>
      <c r="U89" s="2" t="inlineStr"/>
    </row>
    <row r="90" ht="15" customHeight="1">
      <c r="A90" t="inlineStr">
        <is>
          <t>A 36018-2025</t>
        </is>
      </c>
      <c r="B90" t="inlineStr">
        <is>
          <t>avverkningsanmälan</t>
        </is>
      </c>
      <c r="C90" t="inlineStr">
        <is>
          <t>Föryngringsavverkning</t>
        </is>
      </c>
      <c r="D90" s="1" t="n">
        <v>45863</v>
      </c>
      <c r="E90" s="1" t="n">
        <v>46218</v>
      </c>
      <c r="F90" t="inlineStr">
        <is>
          <t>VÄSTRA GÖTALANDS LÄN</t>
        </is>
      </c>
      <c r="G90" t="inlineStr">
        <is>
          <t>STENUNGSUND</t>
        </is>
      </c>
      <c r="I90" t="n">
        <v>1.3</v>
      </c>
      <c r="J90" t="n">
        <v>0</v>
      </c>
      <c r="K90" t="n">
        <v>0</v>
      </c>
      <c r="L90" t="n">
        <v>0</v>
      </c>
      <c r="M90" t="n">
        <v>0</v>
      </c>
      <c r="N90" t="n">
        <v>0</v>
      </c>
      <c r="O90" t="n">
        <v>0</v>
      </c>
      <c r="P90" t="n">
        <v>0</v>
      </c>
      <c r="Q90" t="n">
        <v>0</v>
      </c>
      <c r="R90" t="n">
        <v>0</v>
      </c>
      <c r="S90" t="n">
        <v>0</v>
      </c>
      <c r="T90" t="n">
        <v>0</v>
      </c>
      <c r="U90" s="2" t="inlineStr"/>
    </row>
    <row r="91" ht="15" customHeight="1">
      <c r="A91" t="inlineStr">
        <is>
          <t>A 51661-2023</t>
        </is>
      </c>
      <c r="B91" t="inlineStr">
        <is>
          <t>avverkningsanmälan</t>
        </is>
      </c>
      <c r="C91" t="inlineStr">
        <is>
          <t>Föryngringsavverkning</t>
        </is>
      </c>
      <c r="D91" s="1" t="n">
        <v>45215</v>
      </c>
      <c r="E91" s="1" t="n">
        <v>46218</v>
      </c>
      <c r="F91" t="inlineStr">
        <is>
          <t>VÄSTRA GÖTALANDS LÄN</t>
        </is>
      </c>
      <c r="G91" t="inlineStr">
        <is>
          <t>STENUNGSUND</t>
        </is>
      </c>
      <c r="I91" t="n">
        <v>9.1</v>
      </c>
      <c r="J91" t="n">
        <v>0</v>
      </c>
      <c r="K91" t="n">
        <v>0</v>
      </c>
      <c r="L91" t="n">
        <v>0</v>
      </c>
      <c r="M91" t="n">
        <v>0</v>
      </c>
      <c r="N91" t="n">
        <v>0</v>
      </c>
      <c r="O91" t="n">
        <v>0</v>
      </c>
      <c r="P91" t="n">
        <v>0</v>
      </c>
      <c r="Q91" t="n">
        <v>0</v>
      </c>
      <c r="R91" t="n">
        <v>0</v>
      </c>
      <c r="S91" t="n">
        <v>0</v>
      </c>
      <c r="T91" t="n">
        <v>0</v>
      </c>
      <c r="U91" s="2" t="inlineStr"/>
    </row>
    <row r="92" ht="15" customHeight="1">
      <c r="A92" t="inlineStr">
        <is>
          <t>A 3243-2022</t>
        </is>
      </c>
      <c r="B92" t="inlineStr">
        <is>
          <t>avverkningsanmälan</t>
        </is>
      </c>
      <c r="C92" t="inlineStr">
        <is>
          <t>Föryngringsavverkning</t>
        </is>
      </c>
      <c r="D92" s="1" t="n">
        <v>44582</v>
      </c>
      <c r="E92" s="1" t="n">
        <v>46218</v>
      </c>
      <c r="F92" t="inlineStr">
        <is>
          <t>VÄSTRA GÖTALANDS LÄN</t>
        </is>
      </c>
      <c r="G92" t="inlineStr">
        <is>
          <t>STENUNGSUND</t>
        </is>
      </c>
      <c r="I92" t="n">
        <v>7.6</v>
      </c>
      <c r="J92" t="n">
        <v>0</v>
      </c>
      <c r="K92" t="n">
        <v>0</v>
      </c>
      <c r="L92" t="n">
        <v>0</v>
      </c>
      <c r="M92" t="n">
        <v>0</v>
      </c>
      <c r="N92" t="n">
        <v>0</v>
      </c>
      <c r="O92" t="n">
        <v>0</v>
      </c>
      <c r="P92" t="n">
        <v>0</v>
      </c>
      <c r="Q92" t="n">
        <v>0</v>
      </c>
      <c r="R92" t="n">
        <v>0</v>
      </c>
      <c r="S92" t="n">
        <v>0</v>
      </c>
      <c r="T92" t="n">
        <v>0</v>
      </c>
      <c r="U92" s="2" t="inlineStr"/>
    </row>
    <row r="93" ht="15" customHeight="1">
      <c r="A93" t="inlineStr">
        <is>
          <t>A 15535-2024</t>
        </is>
      </c>
      <c r="B93" t="inlineStr">
        <is>
          <t>avverkningsanmälan</t>
        </is>
      </c>
      <c r="C93" t="inlineStr">
        <is>
          <t>Föryngringsavverkning</t>
        </is>
      </c>
      <c r="D93" s="1" t="n">
        <v>45401</v>
      </c>
      <c r="E93" s="1" t="n">
        <v>46218</v>
      </c>
      <c r="F93" t="inlineStr">
        <is>
          <t>VÄSTRA GÖTALANDS LÄN</t>
        </is>
      </c>
      <c r="G93" t="inlineStr">
        <is>
          <t>STENUNGSUND</t>
        </is>
      </c>
      <c r="I93" t="n">
        <v>1.8</v>
      </c>
      <c r="J93" t="n">
        <v>0</v>
      </c>
      <c r="K93" t="n">
        <v>0</v>
      </c>
      <c r="L93" t="n">
        <v>0</v>
      </c>
      <c r="M93" t="n">
        <v>0</v>
      </c>
      <c r="N93" t="n">
        <v>0</v>
      </c>
      <c r="O93" t="n">
        <v>0</v>
      </c>
      <c r="P93" t="n">
        <v>0</v>
      </c>
      <c r="Q93" t="n">
        <v>0</v>
      </c>
      <c r="R93" t="n">
        <v>0</v>
      </c>
      <c r="S93" t="n">
        <v>0</v>
      </c>
      <c r="T93" t="n">
        <v>0</v>
      </c>
      <c r="U93" s="2" t="inlineStr"/>
    </row>
    <row r="94" ht="15" customHeight="1">
      <c r="A94" t="inlineStr">
        <is>
          <t>A 35172-2025</t>
        </is>
      </c>
      <c r="B94" t="inlineStr">
        <is>
          <t>avverkningsanmälan</t>
        </is>
      </c>
      <c r="C94" t="inlineStr">
        <is>
          <t>Föryngringsavverkning</t>
        </is>
      </c>
      <c r="D94" s="1" t="n">
        <v>45852</v>
      </c>
      <c r="E94" s="1" t="n">
        <v>46218</v>
      </c>
      <c r="F94" t="inlineStr">
        <is>
          <t>VÄSTRA GÖTALANDS LÄN</t>
        </is>
      </c>
      <c r="G94" t="inlineStr">
        <is>
          <t>STENUNGSUND</t>
        </is>
      </c>
      <c r="I94" t="n">
        <v>4.5</v>
      </c>
      <c r="J94" t="n">
        <v>0</v>
      </c>
      <c r="K94" t="n">
        <v>0</v>
      </c>
      <c r="L94" t="n">
        <v>0</v>
      </c>
      <c r="M94" t="n">
        <v>0</v>
      </c>
      <c r="N94" t="n">
        <v>0</v>
      </c>
      <c r="O94" t="n">
        <v>0</v>
      </c>
      <c r="P94" t="n">
        <v>0</v>
      </c>
      <c r="Q94" t="n">
        <v>0</v>
      </c>
      <c r="R94" t="n">
        <v>0</v>
      </c>
      <c r="S94" t="n">
        <v>0</v>
      </c>
      <c r="T94" t="n">
        <v>0</v>
      </c>
      <c r="U94" s="2" t="inlineStr"/>
    </row>
    <row r="95" ht="15" customHeight="1">
      <c r="A95" t="inlineStr">
        <is>
          <t>A 9282-2025</t>
        </is>
      </c>
      <c r="B95" t="inlineStr">
        <is>
          <t>avverkningsanmälan</t>
        </is>
      </c>
      <c r="C95" t="inlineStr">
        <is>
          <t>Föryngringsavverkning</t>
        </is>
      </c>
      <c r="D95" s="1" t="n">
        <v>45714</v>
      </c>
      <c r="E95" s="1" t="n">
        <v>46218</v>
      </c>
      <c r="F95" t="inlineStr">
        <is>
          <t>VÄSTRA GÖTALANDS LÄN</t>
        </is>
      </c>
      <c r="G95" t="inlineStr">
        <is>
          <t>STENUNGSUND</t>
        </is>
      </c>
      <c r="I95" t="n">
        <v>1.5</v>
      </c>
      <c r="J95" t="n">
        <v>0</v>
      </c>
      <c r="K95" t="n">
        <v>0</v>
      </c>
      <c r="L95" t="n">
        <v>0</v>
      </c>
      <c r="M95" t="n">
        <v>0</v>
      </c>
      <c r="N95" t="n">
        <v>0</v>
      </c>
      <c r="O95" t="n">
        <v>0</v>
      </c>
      <c r="P95" t="n">
        <v>0</v>
      </c>
      <c r="Q95" t="n">
        <v>0</v>
      </c>
      <c r="R95" t="n">
        <v>0</v>
      </c>
      <c r="S95" t="n">
        <v>0</v>
      </c>
      <c r="T95" t="n">
        <v>0</v>
      </c>
      <c r="U95" s="2" t="inlineStr"/>
    </row>
    <row r="96" ht="15" customHeight="1">
      <c r="A96" t="inlineStr">
        <is>
          <t>A 15726-2025</t>
        </is>
      </c>
      <c r="B96" t="inlineStr">
        <is>
          <t>avverkningsanmälan</t>
        </is>
      </c>
      <c r="C96" t="inlineStr">
        <is>
          <t>Föryngringsavverkning</t>
        </is>
      </c>
      <c r="D96" s="1" t="n">
        <v>45748</v>
      </c>
      <c r="E96" s="1" t="n">
        <v>46218</v>
      </c>
      <c r="F96" t="inlineStr">
        <is>
          <t>VÄSTRA GÖTALANDS LÄN</t>
        </is>
      </c>
      <c r="G96" t="inlineStr">
        <is>
          <t>STENUNGSUND</t>
        </is>
      </c>
      <c r="I96" t="n">
        <v>1.2</v>
      </c>
      <c r="J96" t="n">
        <v>0</v>
      </c>
      <c r="K96" t="n">
        <v>0</v>
      </c>
      <c r="L96" t="n">
        <v>0</v>
      </c>
      <c r="M96" t="n">
        <v>0</v>
      </c>
      <c r="N96" t="n">
        <v>0</v>
      </c>
      <c r="O96" t="n">
        <v>0</v>
      </c>
      <c r="P96" t="n">
        <v>0</v>
      </c>
      <c r="Q96" t="n">
        <v>0</v>
      </c>
      <c r="R96" t="n">
        <v>0</v>
      </c>
      <c r="S96" t="n">
        <v>0</v>
      </c>
      <c r="T96" t="n">
        <v>0</v>
      </c>
      <c r="U96" s="2" t="inlineStr"/>
    </row>
    <row r="97" ht="15" customHeight="1">
      <c r="A97" t="inlineStr">
        <is>
          <t>A 14981-2025</t>
        </is>
      </c>
      <c r="B97" t="inlineStr">
        <is>
          <t>avverkningsanmälan</t>
        </is>
      </c>
      <c r="C97" t="inlineStr">
        <is>
          <t>Föryngringsavverkning</t>
        </is>
      </c>
      <c r="D97" s="1" t="n">
        <v>45743</v>
      </c>
      <c r="E97" s="1" t="n">
        <v>46218</v>
      </c>
      <c r="F97" t="inlineStr">
        <is>
          <t>VÄSTRA GÖTALANDS LÄN</t>
        </is>
      </c>
      <c r="G97" t="inlineStr">
        <is>
          <t>STENUNGSUND</t>
        </is>
      </c>
      <c r="I97" t="n">
        <v>4.8</v>
      </c>
      <c r="J97" t="n">
        <v>0</v>
      </c>
      <c r="K97" t="n">
        <v>0</v>
      </c>
      <c r="L97" t="n">
        <v>0</v>
      </c>
      <c r="M97" t="n">
        <v>0</v>
      </c>
      <c r="N97" t="n">
        <v>0</v>
      </c>
      <c r="O97" t="n">
        <v>0</v>
      </c>
      <c r="P97" t="n">
        <v>0</v>
      </c>
      <c r="Q97" t="n">
        <v>0</v>
      </c>
      <c r="R97" t="n">
        <v>0</v>
      </c>
      <c r="S97" t="n">
        <v>0</v>
      </c>
      <c r="T97" t="n">
        <v>0</v>
      </c>
      <c r="U97" s="2" t="inlineStr"/>
    </row>
    <row r="98" ht="15" customHeight="1">
      <c r="A98" t="inlineStr">
        <is>
          <t>A 60687-2025</t>
        </is>
      </c>
      <c r="B98" t="inlineStr">
        <is>
          <t>avverkningsanmälan</t>
        </is>
      </c>
      <c r="C98" t="inlineStr">
        <is>
          <t>Föryngringsavverkning</t>
        </is>
      </c>
      <c r="D98" s="1" t="n">
        <v>45996</v>
      </c>
      <c r="E98" s="1" t="n">
        <v>46218</v>
      </c>
      <c r="F98" t="inlineStr">
        <is>
          <t>VÄSTRA GÖTALANDS LÄN</t>
        </is>
      </c>
      <c r="G98" t="inlineStr">
        <is>
          <t>STENUNGSUND</t>
        </is>
      </c>
      <c r="I98" t="n">
        <v>3.9</v>
      </c>
      <c r="J98" t="n">
        <v>0</v>
      </c>
      <c r="K98" t="n">
        <v>0</v>
      </c>
      <c r="L98" t="n">
        <v>0</v>
      </c>
      <c r="M98" t="n">
        <v>0</v>
      </c>
      <c r="N98" t="n">
        <v>0</v>
      </c>
      <c r="O98" t="n">
        <v>0</v>
      </c>
      <c r="P98" t="n">
        <v>0</v>
      </c>
      <c r="Q98" t="n">
        <v>0</v>
      </c>
      <c r="R98" t="n">
        <v>0</v>
      </c>
      <c r="S98" t="n">
        <v>0</v>
      </c>
      <c r="T98" t="n">
        <v>0</v>
      </c>
      <c r="U98" s="2" t="inlineStr"/>
    </row>
    <row r="99" ht="15" customHeight="1">
      <c r="A99" t="inlineStr">
        <is>
          <t>A 19059-2023</t>
        </is>
      </c>
      <c r="B99" t="inlineStr">
        <is>
          <t>avverkningsanmälan</t>
        </is>
      </c>
      <c r="C99" t="inlineStr">
        <is>
          <t>Föryngringsavverkning</t>
        </is>
      </c>
      <c r="D99" s="1" t="n">
        <v>45048</v>
      </c>
      <c r="E99" s="1" t="n">
        <v>46218</v>
      </c>
      <c r="F99" t="inlineStr">
        <is>
          <t>VÄSTRA GÖTALANDS LÄN</t>
        </is>
      </c>
      <c r="G99" t="inlineStr">
        <is>
          <t>STENUNGSUND</t>
        </is>
      </c>
      <c r="I99" t="n">
        <v>0.7</v>
      </c>
      <c r="J99" t="n">
        <v>0</v>
      </c>
      <c r="K99" t="n">
        <v>0</v>
      </c>
      <c r="L99" t="n">
        <v>0</v>
      </c>
      <c r="M99" t="n">
        <v>0</v>
      </c>
      <c r="N99" t="n">
        <v>0</v>
      </c>
      <c r="O99" t="n">
        <v>0</v>
      </c>
      <c r="P99" t="n">
        <v>0</v>
      </c>
      <c r="Q99" t="n">
        <v>0</v>
      </c>
      <c r="R99" t="n">
        <v>0</v>
      </c>
      <c r="S99" t="n">
        <v>0</v>
      </c>
      <c r="T99" t="n">
        <v>0</v>
      </c>
      <c r="U99" s="2" t="inlineStr"/>
    </row>
    <row r="100" ht="15" customHeight="1">
      <c r="A100" t="inlineStr">
        <is>
          <t>A 26654-2026</t>
        </is>
      </c>
      <c r="B100" t="inlineStr">
        <is>
          <t>avverkningsanmälan</t>
        </is>
      </c>
      <c r="C100" t="inlineStr">
        <is>
          <t>Föryngringsavverkning</t>
        </is>
      </c>
      <c r="D100" s="1" t="n">
        <v>46184</v>
      </c>
      <c r="E100" s="1" t="n">
        <v>46218</v>
      </c>
      <c r="F100" t="inlineStr">
        <is>
          <t>VÄSTRA GÖTALANDS LÄN</t>
        </is>
      </c>
      <c r="G100" t="inlineStr">
        <is>
          <t>STENUNGSUND</t>
        </is>
      </c>
      <c r="I100" t="n">
        <v>2</v>
      </c>
      <c r="J100" t="n">
        <v>0</v>
      </c>
      <c r="K100" t="n">
        <v>0</v>
      </c>
      <c r="L100" t="n">
        <v>0</v>
      </c>
      <c r="M100" t="n">
        <v>0</v>
      </c>
      <c r="N100" t="n">
        <v>0</v>
      </c>
      <c r="O100" t="n">
        <v>0</v>
      </c>
      <c r="P100" t="n">
        <v>0</v>
      </c>
      <c r="Q100" t="n">
        <v>0</v>
      </c>
      <c r="R100" t="n">
        <v>0</v>
      </c>
      <c r="S100" t="n">
        <v>0</v>
      </c>
      <c r="T100" t="n">
        <v>0</v>
      </c>
      <c r="U100" s="2" t="inlineStr"/>
    </row>
    <row r="101" ht="15" customHeight="1">
      <c r="A101" t="inlineStr">
        <is>
          <t>A 2472-2026</t>
        </is>
      </c>
      <c r="B101" t="inlineStr">
        <is>
          <t>avverkningsanmälan</t>
        </is>
      </c>
      <c r="C101" t="inlineStr">
        <is>
          <t>Föryngringsavverkning</t>
        </is>
      </c>
      <c r="D101" s="1" t="n">
        <v>46037</v>
      </c>
      <c r="E101" s="1" t="n">
        <v>46218</v>
      </c>
      <c r="F101" t="inlineStr">
        <is>
          <t>VÄSTRA GÖTALANDS LÄN</t>
        </is>
      </c>
      <c r="G101" t="inlineStr">
        <is>
          <t>STENUNGSUND</t>
        </is>
      </c>
      <c r="I101" t="n">
        <v>1.1</v>
      </c>
      <c r="J101" t="n">
        <v>0</v>
      </c>
      <c r="K101" t="n">
        <v>0</v>
      </c>
      <c r="L101" t="n">
        <v>0</v>
      </c>
      <c r="M101" t="n">
        <v>0</v>
      </c>
      <c r="N101" t="n">
        <v>0</v>
      </c>
      <c r="O101" t="n">
        <v>0</v>
      </c>
      <c r="P101" t="n">
        <v>0</v>
      </c>
      <c r="Q101" t="n">
        <v>0</v>
      </c>
      <c r="R101" t="n">
        <v>0</v>
      </c>
      <c r="S101" t="n">
        <v>0</v>
      </c>
      <c r="T101" t="n">
        <v>0</v>
      </c>
      <c r="U101" s="2" t="inlineStr"/>
    </row>
    <row r="102" ht="15" customHeight="1">
      <c r="A102" t="inlineStr">
        <is>
          <t>A 2481-2026</t>
        </is>
      </c>
      <c r="B102" t="inlineStr">
        <is>
          <t>avverkningsanmälan</t>
        </is>
      </c>
      <c r="C102" t="inlineStr">
        <is>
          <t>Föryngringsavverkning</t>
        </is>
      </c>
      <c r="D102" s="1" t="n">
        <v>46037</v>
      </c>
      <c r="E102" s="1" t="n">
        <v>46218</v>
      </c>
      <c r="F102" t="inlineStr">
        <is>
          <t>VÄSTRA GÖTALANDS LÄN</t>
        </is>
      </c>
      <c r="G102" t="inlineStr">
        <is>
          <t>STENUNGSUND</t>
        </is>
      </c>
      <c r="I102" t="n">
        <v>1.4</v>
      </c>
      <c r="J102" t="n">
        <v>0</v>
      </c>
      <c r="K102" t="n">
        <v>0</v>
      </c>
      <c r="L102" t="n">
        <v>0</v>
      </c>
      <c r="M102" t="n">
        <v>0</v>
      </c>
      <c r="N102" t="n">
        <v>0</v>
      </c>
      <c r="O102" t="n">
        <v>0</v>
      </c>
      <c r="P102" t="n">
        <v>0</v>
      </c>
      <c r="Q102" t="n">
        <v>0</v>
      </c>
      <c r="R102" t="n">
        <v>0</v>
      </c>
      <c r="S102" t="n">
        <v>0</v>
      </c>
      <c r="T102" t="n">
        <v>0</v>
      </c>
      <c r="U102" s="2" t="inlineStr"/>
    </row>
    <row r="103" ht="15" customHeight="1">
      <c r="A103" t="inlineStr">
        <is>
          <t>A 28665-2026</t>
        </is>
      </c>
      <c r="B103" t="inlineStr">
        <is>
          <t>avverkningsanmälan</t>
        </is>
      </c>
      <c r="C103" t="inlineStr">
        <is>
          <t>Föryngringsavverkning</t>
        </is>
      </c>
      <c r="D103" s="1" t="n">
        <v>46191</v>
      </c>
      <c r="E103" s="1" t="n">
        <v>46218</v>
      </c>
      <c r="F103" t="inlineStr">
        <is>
          <t>VÄSTRA GÖTALANDS LÄN</t>
        </is>
      </c>
      <c r="G103" t="inlineStr">
        <is>
          <t>STENUNGSUND</t>
        </is>
      </c>
      <c r="I103" t="n">
        <v>2.2</v>
      </c>
      <c r="J103" t="n">
        <v>0</v>
      </c>
      <c r="K103" t="n">
        <v>0</v>
      </c>
      <c r="L103" t="n">
        <v>0</v>
      </c>
      <c r="M103" t="n">
        <v>0</v>
      </c>
      <c r="N103" t="n">
        <v>0</v>
      </c>
      <c r="O103" t="n">
        <v>0</v>
      </c>
      <c r="P103" t="n">
        <v>0</v>
      </c>
      <c r="Q103" t="n">
        <v>0</v>
      </c>
      <c r="R103" t="n">
        <v>0</v>
      </c>
      <c r="S103" t="n">
        <v>0</v>
      </c>
      <c r="T103" t="n">
        <v>0</v>
      </c>
      <c r="U103" s="2" t="inlineStr"/>
    </row>
    <row r="104" ht="15" customHeight="1">
      <c r="A104" t="inlineStr">
        <is>
          <t>A 23115-2026</t>
        </is>
      </c>
      <c r="B104" t="inlineStr">
        <is>
          <t>avverkningsanmälan</t>
        </is>
      </c>
      <c r="C104" t="inlineStr">
        <is>
          <t>Föryngringsavverkning</t>
        </is>
      </c>
      <c r="D104" s="1" t="n">
        <v>46161</v>
      </c>
      <c r="E104" s="1" t="n">
        <v>46218</v>
      </c>
      <c r="F104" t="inlineStr">
        <is>
          <t>VÄSTRA GÖTALANDS LÄN</t>
        </is>
      </c>
      <c r="G104" t="inlineStr">
        <is>
          <t>STENUNGSUND</t>
        </is>
      </c>
      <c r="I104" t="n">
        <v>5.9</v>
      </c>
      <c r="J104" t="n">
        <v>0</v>
      </c>
      <c r="K104" t="n">
        <v>0</v>
      </c>
      <c r="L104" t="n">
        <v>0</v>
      </c>
      <c r="M104" t="n">
        <v>0</v>
      </c>
      <c r="N104" t="n">
        <v>0</v>
      </c>
      <c r="O104" t="n">
        <v>0</v>
      </c>
      <c r="P104" t="n">
        <v>0</v>
      </c>
      <c r="Q104" t="n">
        <v>0</v>
      </c>
      <c r="R104" t="n">
        <v>0</v>
      </c>
      <c r="S104" t="n">
        <v>0</v>
      </c>
      <c r="T104" t="n">
        <v>0</v>
      </c>
      <c r="U104" s="2" t="inlineStr"/>
    </row>
    <row r="105" ht="15" customHeight="1">
      <c r="A105" t="inlineStr">
        <is>
          <t>A 11362-2025</t>
        </is>
      </c>
      <c r="B105" t="inlineStr">
        <is>
          <t>avverkningsanmälan</t>
        </is>
      </c>
      <c r="C105" t="inlineStr">
        <is>
          <t>Föryngringsavverkning</t>
        </is>
      </c>
      <c r="D105" s="1" t="n">
        <v>45726</v>
      </c>
      <c r="E105" s="1" t="n">
        <v>46218</v>
      </c>
      <c r="F105" t="inlineStr">
        <is>
          <t>VÄSTRA GÖTALANDS LÄN</t>
        </is>
      </c>
      <c r="G105" t="inlineStr">
        <is>
          <t>STENUNGSUND</t>
        </is>
      </c>
      <c r="I105" t="n">
        <v>6.4</v>
      </c>
      <c r="J105" t="n">
        <v>0</v>
      </c>
      <c r="K105" t="n">
        <v>0</v>
      </c>
      <c r="L105" t="n">
        <v>0</v>
      </c>
      <c r="M105" t="n">
        <v>0</v>
      </c>
      <c r="N105" t="n">
        <v>0</v>
      </c>
      <c r="O105" t="n">
        <v>0</v>
      </c>
      <c r="P105" t="n">
        <v>0</v>
      </c>
      <c r="Q105" t="n">
        <v>0</v>
      </c>
      <c r="R105" t="n">
        <v>0</v>
      </c>
      <c r="S105" t="n">
        <v>0</v>
      </c>
      <c r="T105" t="n">
        <v>0</v>
      </c>
      <c r="U105" s="2" t="inlineStr"/>
    </row>
    <row r="106" ht="15" customHeight="1">
      <c r="A106" t="inlineStr">
        <is>
          <t>A 7562-2026</t>
        </is>
      </c>
      <c r="B106" t="inlineStr">
        <is>
          <t>avverkningsanmälan</t>
        </is>
      </c>
      <c r="C106" t="inlineStr">
        <is>
          <t>Föryngringsavverkning</t>
        </is>
      </c>
      <c r="D106" s="1" t="n">
        <v>46060</v>
      </c>
      <c r="E106" s="1" t="n">
        <v>46218</v>
      </c>
      <c r="F106" t="inlineStr">
        <is>
          <t>VÄSTRA GÖTALANDS LÄN</t>
        </is>
      </c>
      <c r="G106" t="inlineStr">
        <is>
          <t>STENUNGSUND</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30170-2026</t>
        </is>
      </c>
      <c r="B107" t="inlineStr">
        <is>
          <t>avverkningsanmälan</t>
        </is>
      </c>
      <c r="C107" t="inlineStr">
        <is>
          <t>Föryngringsavverkning</t>
        </is>
      </c>
      <c r="D107" s="1" t="n">
        <v>46206</v>
      </c>
      <c r="E107" s="1" t="n">
        <v>46218</v>
      </c>
      <c r="F107" t="inlineStr">
        <is>
          <t>VÄSTRA GÖTALANDS LÄN</t>
        </is>
      </c>
      <c r="G107" t="inlineStr">
        <is>
          <t>STENUNGSUND</t>
        </is>
      </c>
      <c r="I107" t="n">
        <v>3.6</v>
      </c>
      <c r="J107" t="n">
        <v>0</v>
      </c>
      <c r="K107" t="n">
        <v>0</v>
      </c>
      <c r="L107" t="n">
        <v>0</v>
      </c>
      <c r="M107" t="n">
        <v>0</v>
      </c>
      <c r="N107" t="n">
        <v>0</v>
      </c>
      <c r="O107" t="n">
        <v>0</v>
      </c>
      <c r="P107" t="n">
        <v>0</v>
      </c>
      <c r="Q107" t="n">
        <v>0</v>
      </c>
      <c r="R107" t="n">
        <v>0</v>
      </c>
      <c r="S107" t="n">
        <v>0</v>
      </c>
      <c r="T107" t="n">
        <v>0</v>
      </c>
      <c r="U107" s="2" t="inlineStr"/>
    </row>
    <row r="108" ht="15" customHeight="1">
      <c r="A108" t="inlineStr">
        <is>
          <t>A 32960-2023</t>
        </is>
      </c>
      <c r="B108" t="inlineStr">
        <is>
          <t>avverkningsanmälan</t>
        </is>
      </c>
      <c r="C108" t="inlineStr">
        <is>
          <t>Avverkning för annat ändamål</t>
        </is>
      </c>
      <c r="D108" s="1" t="n">
        <v>45125</v>
      </c>
      <c r="E108" s="1" t="n">
        <v>46218</v>
      </c>
      <c r="F108" t="inlineStr">
        <is>
          <t>VÄSTRA GÖTALANDS LÄN</t>
        </is>
      </c>
      <c r="G108" t="inlineStr">
        <is>
          <t>STENUNGSUND</t>
        </is>
      </c>
      <c r="I108" t="n">
        <v>3.9</v>
      </c>
      <c r="J108" t="n">
        <v>0</v>
      </c>
      <c r="K108" t="n">
        <v>0</v>
      </c>
      <c r="L108" t="n">
        <v>0</v>
      </c>
      <c r="M108" t="n">
        <v>0</v>
      </c>
      <c r="N108" t="n">
        <v>0</v>
      </c>
      <c r="O108" t="n">
        <v>0</v>
      </c>
      <c r="P108" t="n">
        <v>0</v>
      </c>
      <c r="Q108" t="n">
        <v>0</v>
      </c>
      <c r="R108" t="n">
        <v>0</v>
      </c>
      <c r="S108" t="n">
        <v>0</v>
      </c>
      <c r="T108" t="n">
        <v>0</v>
      </c>
      <c r="U108" s="2" t="inlineStr"/>
    </row>
    <row r="109" ht="15" customHeight="1">
      <c r="A109" t="inlineStr">
        <is>
          <t>A 32997-2025</t>
        </is>
      </c>
      <c r="B109" t="inlineStr">
        <is>
          <t>avverkningsanmälan</t>
        </is>
      </c>
      <c r="C109" t="inlineStr">
        <is>
          <t>Föryngringsavverkning</t>
        </is>
      </c>
      <c r="D109" s="1" t="n">
        <v>45840</v>
      </c>
      <c r="E109" s="1" t="n">
        <v>46218</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19709-2026</t>
        </is>
      </c>
      <c r="B110" t="inlineStr">
        <is>
          <t>avverkningsanmälan</t>
        </is>
      </c>
      <c r="C110" t="inlineStr">
        <is>
          <t>Föryngringsavverkning</t>
        </is>
      </c>
      <c r="D110" s="1" t="n">
        <v>46134</v>
      </c>
      <c r="E110" s="1" t="n">
        <v>46218</v>
      </c>
      <c r="F110" t="inlineStr">
        <is>
          <t>VÄSTRA GÖTALANDS LÄN</t>
        </is>
      </c>
      <c r="G110" t="inlineStr">
        <is>
          <t>STENUNGSUND</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17362-2026</t>
        </is>
      </c>
      <c r="B111" t="inlineStr">
        <is>
          <t>avverkningsanmälan</t>
        </is>
      </c>
      <c r="C111" t="inlineStr">
        <is>
          <t>Föryngringsavverkning</t>
        </is>
      </c>
      <c r="D111" s="1" t="n">
        <v>46119</v>
      </c>
      <c r="E111" s="1" t="n">
        <v>46218</v>
      </c>
      <c r="F111" t="inlineStr">
        <is>
          <t>VÄSTRA GÖTALANDS LÄN</t>
        </is>
      </c>
      <c r="G111" t="inlineStr">
        <is>
          <t>STENUNGSUND</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18016-2026</t>
        </is>
      </c>
      <c r="B112" t="inlineStr">
        <is>
          <t>avverkningsanmälan</t>
        </is>
      </c>
      <c r="C112" t="inlineStr">
        <is>
          <t>Föryngringsavverkning</t>
        </is>
      </c>
      <c r="D112" s="1" t="n">
        <v>46125</v>
      </c>
      <c r="E112" s="1" t="n">
        <v>46218</v>
      </c>
      <c r="F112" t="inlineStr">
        <is>
          <t>VÄSTRA GÖTALANDS LÄN</t>
        </is>
      </c>
      <c r="G112" t="inlineStr">
        <is>
          <t>STENUNGSUND</t>
        </is>
      </c>
      <c r="I112" t="n">
        <v>1.4</v>
      </c>
      <c r="J112" t="n">
        <v>0</v>
      </c>
      <c r="K112" t="n">
        <v>0</v>
      </c>
      <c r="L112" t="n">
        <v>0</v>
      </c>
      <c r="M112" t="n">
        <v>0</v>
      </c>
      <c r="N112" t="n">
        <v>0</v>
      </c>
      <c r="O112" t="n">
        <v>0</v>
      </c>
      <c r="P112" t="n">
        <v>0</v>
      </c>
      <c r="Q112" t="n">
        <v>0</v>
      </c>
      <c r="R112" t="n">
        <v>0</v>
      </c>
      <c r="S112" t="n">
        <v>0</v>
      </c>
      <c r="T112" t="n">
        <v>0</v>
      </c>
      <c r="U112" s="2" t="inlineStr"/>
    </row>
    <row r="113">
      <c r="A113" t="inlineStr">
        <is>
          <t>S 478-2022</t>
        </is>
      </c>
      <c r="B113" t="inlineStr">
        <is>
          <t>samrådsanmälan</t>
        </is>
      </c>
      <c r="C113" t="inlineStr">
        <is>
          <t>Skogsbilväg</t>
        </is>
      </c>
      <c r="D113" s="1" t="n">
        <v>44587</v>
      </c>
      <c r="E113" s="1" t="n">
        <v>46218</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2026-07-15T01:23:09Z</dcterms:created>
  <dcterms:modified xmlns:dcterms="http://purl.org/dc/terms/" xmlns:xsi="http://www.w3.org/2001/XMLSchema-instance" xsi:type="dcterms:W3CDTF">2026-07-15T01:23:09Z</dcterms:modified>
</cp:coreProperties>
</file>