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46321</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46321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46321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46321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46321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46321</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46321</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46321</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46321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46321</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46321</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46321</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46321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25125-2026</t>
        </is>
      </c>
      <c r="B15" t="inlineStr">
        <is>
          <t>avverkningsanmälan</t>
        </is>
      </c>
      <c r="C15" t="inlineStr">
        <is>
          <t>Föryngringsavverkning</t>
        </is>
      </c>
      <c r="D15" s="1" t="n">
        <v>46175</v>
      </c>
      <c r="E15" s="1" t="n">
        <v>46321</v>
      </c>
      <c r="F15" t="inlineStr">
        <is>
          <t>VÄSTRA GÖTALANDS LÄN</t>
        </is>
      </c>
      <c r="G15" t="inlineStr">
        <is>
          <t>STENUNGSUND</t>
        </is>
      </c>
      <c r="I15" t="n">
        <v>3.3</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HYPERLINK("https://klasma.github.io/Logging_1415/artfynd/A 25125-2026 artfynd.xlsx", "A 25125-2026")</f>
        <v/>
      </c>
      <c r="X15">
        <f>HYPERLINK("https://klasma.github.io/Logging_1415/kartor/A 25125-2026 karta.png", "A 25125-2026")</f>
        <v/>
      </c>
      <c r="Y15">
        <f>HYPERLINK("https://klasma.github.io/Logging_1415/kartor_geotiff/A 25125-2026 georefererad karta.tif", "A 25125-2026")</f>
        <v/>
      </c>
      <c r="AA15">
        <f>HYPERLINK("https://klasma.github.io/Logging_1415/klagomål/A 25125-2026 FSC-klagomål.docx", "A 25125-2026")</f>
        <v/>
      </c>
      <c r="AB15">
        <f>HYPERLINK("https://klasma.github.io/Logging_1415/klagomålsmail/A 25125-2026 FSC-klagomål mail.docx", "A 25125-2026")</f>
        <v/>
      </c>
      <c r="AC15">
        <f>HYPERLINK("https://klasma.github.io/Logging_1415/tillsyn/A 25125-2026 tillsynsbegäran.docx", "A 25125-2026")</f>
        <v/>
      </c>
      <c r="AD15">
        <f>HYPERLINK("https://klasma.github.io/Logging_1415/tillsynsmail/A 25125-2026 tillsynsbegäran mail.docx", "A 25125-2026")</f>
        <v/>
      </c>
    </row>
    <row r="16" ht="15" customHeight="1">
      <c r="A16" t="inlineStr">
        <is>
          <t>A 54611-2025</t>
        </is>
      </c>
      <c r="B16" t="inlineStr">
        <is>
          <t>avverkningsanmälan</t>
        </is>
      </c>
      <c r="C16" t="inlineStr">
        <is>
          <t>Föryngringsavverkning</t>
        </is>
      </c>
      <c r="D16" s="1" t="n">
        <v>45966</v>
      </c>
      <c r="E16" s="1" t="n">
        <v>46321</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12075-2022</t>
        </is>
      </c>
      <c r="B17" t="inlineStr">
        <is>
          <t>avverkningsanmälan</t>
        </is>
      </c>
      <c r="C17" t="inlineStr">
        <is>
          <t>Föryngringsavverkning</t>
        </is>
      </c>
      <c r="D17" s="1" t="n">
        <v>44636</v>
      </c>
      <c r="E17" s="1" t="n">
        <v>46321</v>
      </c>
      <c r="F17" t="inlineStr">
        <is>
          <t>VÄSTRA GÖTALANDS LÄN</t>
        </is>
      </c>
      <c r="G17" t="inlineStr">
        <is>
          <t>STENUNGSUND</t>
        </is>
      </c>
      <c r="I17" t="n">
        <v>7.5</v>
      </c>
      <c r="J17" t="n">
        <v>1</v>
      </c>
      <c r="K17" t="n">
        <v>0</v>
      </c>
      <c r="L17" t="n">
        <v>0</v>
      </c>
      <c r="M17" t="n">
        <v>1</v>
      </c>
      <c r="N17" t="n">
        <v>0</v>
      </c>
      <c r="O17" t="n">
        <v>0</v>
      </c>
      <c r="P17" t="n">
        <v>0</v>
      </c>
      <c r="Q17" t="n">
        <v>1</v>
      </c>
      <c r="R17" t="n">
        <v>1</v>
      </c>
      <c r="S17" t="n">
        <v>1</v>
      </c>
      <c r="T17" t="n">
        <v>1</v>
      </c>
      <c r="U17" t="n">
        <v>1</v>
      </c>
      <c r="V17" s="2" t="inlineStr">
        <is>
          <t>Bredgentiana</t>
        </is>
      </c>
      <c r="W17">
        <f>HYPERLINK("https://klasma.github.io/Logging_1415/artfynd/A 12075-2022 artfynd.xlsx", "A 12075-2022")</f>
        <v/>
      </c>
      <c r="X17">
        <f>HYPERLINK("https://klasma.github.io/Logging_1415/kartor/A 12075-2022 karta.png", "A 12075-2022")</f>
        <v/>
      </c>
      <c r="Y17">
        <f>HYPERLINK("https://klasma.github.io/Logging_1415/kartor_geotiff/A 12075-2022 georefererad karta.tif", "A 12075-2022")</f>
        <v/>
      </c>
      <c r="AA17">
        <f>HYPERLINK("https://klasma.github.io/Logging_1415/klagomål/A 12075-2022 FSC-klagomål.docx", "A 12075-2022")</f>
        <v/>
      </c>
      <c r="AB17">
        <f>HYPERLINK("https://klasma.github.io/Logging_1415/klagomålsmail/A 12075-2022 FSC-klagomål mail.docx", "A 12075-2022")</f>
        <v/>
      </c>
      <c r="AC17">
        <f>HYPERLINK("https://klasma.github.io/Logging_1415/tillsyn/A 12075-2022 tillsynsbegäran.docx", "A 12075-2022")</f>
        <v/>
      </c>
      <c r="AD17">
        <f>HYPERLINK("https://klasma.github.io/Logging_1415/tillsynsmail/A 12075-2022 tillsynsbegäran mail.docx", "A 12075-2022")</f>
        <v/>
      </c>
    </row>
    <row r="18" ht="15" customHeight="1">
      <c r="A18" t="inlineStr">
        <is>
          <t>A 31696-2026</t>
        </is>
      </c>
      <c r="B18" t="inlineStr">
        <is>
          <t>avverkningsanmälan</t>
        </is>
      </c>
      <c r="C18" t="inlineStr">
        <is>
          <t>Föryngringsavverkning</t>
        </is>
      </c>
      <c r="D18" s="1" t="n">
        <v>46226</v>
      </c>
      <c r="E18" s="1" t="n">
        <v>46321</v>
      </c>
      <c r="F18" t="inlineStr">
        <is>
          <t>VÄSTRA GÖTALANDS LÄN</t>
        </is>
      </c>
      <c r="G18" t="inlineStr">
        <is>
          <t>STENUNGSUND</t>
        </is>
      </c>
      <c r="I18" t="n">
        <v>5.8</v>
      </c>
      <c r="J18" t="n">
        <v>0</v>
      </c>
      <c r="K18" t="n">
        <v>1</v>
      </c>
      <c r="L18" t="n">
        <v>0</v>
      </c>
      <c r="M18" t="n">
        <v>0</v>
      </c>
      <c r="N18" t="n">
        <v>0</v>
      </c>
      <c r="O18" t="n">
        <v>0</v>
      </c>
      <c r="P18" t="n">
        <v>0</v>
      </c>
      <c r="Q18" t="n">
        <v>0</v>
      </c>
      <c r="R18" t="n">
        <v>0</v>
      </c>
      <c r="S18" t="n">
        <v>1</v>
      </c>
      <c r="T18" t="n">
        <v>1</v>
      </c>
      <c r="U18" t="n">
        <v>0</v>
      </c>
      <c r="V18" s="2" t="inlineStr">
        <is>
          <t>Blanksvart trämyra</t>
        </is>
      </c>
      <c r="W18">
        <f>HYPERLINK("https://klasma.github.io/Logging_1415/artfynd/A 31696-2026 artfynd.xlsx", "A 31696-2026")</f>
        <v/>
      </c>
      <c r="X18">
        <f>HYPERLINK("https://klasma.github.io/Logging_1415/kartor/A 31696-2026 karta.png", "A 31696-2026")</f>
        <v/>
      </c>
      <c r="Y18">
        <f>HYPERLINK("https://klasma.github.io/Logging_1415/kartor_geotiff/A 31696-2026 georefererad karta.tif", "A 31696-2026")</f>
        <v/>
      </c>
      <c r="AA18">
        <f>HYPERLINK("https://klasma.github.io/Logging_1415/klagomål/A 31696-2026 FSC-klagomål.docx", "A 31696-2026")</f>
        <v/>
      </c>
      <c r="AB18">
        <f>HYPERLINK("https://klasma.github.io/Logging_1415/klagomålsmail/A 31696-2026 FSC-klagomål mail.docx", "A 31696-2026")</f>
        <v/>
      </c>
      <c r="AC18">
        <f>HYPERLINK("https://klasma.github.io/Logging_1415/tillsyn/A 31696-2026 tillsynsbegäran.docx", "A 31696-2026")</f>
        <v/>
      </c>
      <c r="AD18">
        <f>HYPERLINK("https://klasma.github.io/Logging_1415/tillsynsmail/A 31696-2026 tillsynsbegäran mail.docx", "A 31696-2026")</f>
        <v/>
      </c>
    </row>
    <row r="19" ht="15" customHeight="1">
      <c r="A19" t="inlineStr">
        <is>
          <t>A 4769-2026</t>
        </is>
      </c>
      <c r="B19" t="inlineStr">
        <is>
          <t>avverkningsanmälan</t>
        </is>
      </c>
      <c r="C19" t="inlineStr">
        <is>
          <t>Föryngringsavverkning</t>
        </is>
      </c>
      <c r="D19" s="1" t="n">
        <v>46048</v>
      </c>
      <c r="E19" s="1" t="n">
        <v>46321</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17346-2026</t>
        </is>
      </c>
      <c r="B20" t="inlineStr">
        <is>
          <t>avverkningsanmälan</t>
        </is>
      </c>
      <c r="C20" t="inlineStr">
        <is>
          <t>Föryngringsavverkning</t>
        </is>
      </c>
      <c r="D20" s="1" t="n">
        <v>46119</v>
      </c>
      <c r="E20" s="1" t="n">
        <v>46321</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37539-2025</t>
        </is>
      </c>
      <c r="B21" t="inlineStr">
        <is>
          <t>avverkningsanmälan</t>
        </is>
      </c>
      <c r="C21" t="inlineStr">
        <is>
          <t>Föryngringsavverkning</t>
        </is>
      </c>
      <c r="D21" s="1" t="n">
        <v>45879</v>
      </c>
      <c r="E21" s="1" t="n">
        <v>46321</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6147-2022</t>
        </is>
      </c>
      <c r="B22" t="inlineStr">
        <is>
          <t>avverkningsanmälan</t>
        </is>
      </c>
      <c r="C22" t="inlineStr">
        <is>
          <t>Föryngringsavverkning</t>
        </is>
      </c>
      <c r="D22" s="1" t="n">
        <v>44599</v>
      </c>
      <c r="E22" s="1" t="n">
        <v>46321</v>
      </c>
      <c r="F22" t="inlineStr">
        <is>
          <t>VÄSTRA GÖTALANDS LÄN</t>
        </is>
      </c>
      <c r="G22" t="inlineStr">
        <is>
          <t>STENUNGSUND</t>
        </is>
      </c>
      <c r="I22" t="n">
        <v>2.2</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HYPERLINK("https://klasma.github.io/Logging_1415/artfynd/A 6147-2022 artfynd.xlsx", "A 6147-2022")</f>
        <v/>
      </c>
      <c r="X22">
        <f>HYPERLINK("https://klasma.github.io/Logging_1415/kartor/A 6147-2022 karta.png", "A 6147-2022")</f>
        <v/>
      </c>
      <c r="Y22">
        <f>HYPERLINK("https://klasma.github.io/Logging_1415/kartor_geotiff/A 6147-2022 georefererad karta.tif", "A 6147-2022")</f>
        <v/>
      </c>
      <c r="AA22">
        <f>HYPERLINK("https://klasma.github.io/Logging_1415/klagomål/A 6147-2022 FSC-klagomål.docx", "A 6147-2022")</f>
        <v/>
      </c>
      <c r="AB22">
        <f>HYPERLINK("https://klasma.github.io/Logging_1415/klagomålsmail/A 6147-2022 FSC-klagomål mail.docx", "A 6147-2022")</f>
        <v/>
      </c>
      <c r="AC22">
        <f>HYPERLINK("https://klasma.github.io/Logging_1415/tillsyn/A 6147-2022 tillsynsbegäran.docx", "A 6147-2022")</f>
        <v/>
      </c>
      <c r="AD22">
        <f>HYPERLINK("https://klasma.github.io/Logging_1415/tillsynsmail/A 6147-2022 tillsynsbegäran mail.docx", "A 6147-2022")</f>
        <v/>
      </c>
    </row>
    <row r="23" ht="15" customHeight="1">
      <c r="A23" t="inlineStr">
        <is>
          <t>A 45000-2024</t>
        </is>
      </c>
      <c r="B23" t="inlineStr">
        <is>
          <t>avverkningsanmälan</t>
        </is>
      </c>
      <c r="C23" t="inlineStr">
        <is>
          <t>Föryngringsavverkning</t>
        </is>
      </c>
      <c r="D23" s="1" t="n">
        <v>45575</v>
      </c>
      <c r="E23" s="1" t="n">
        <v>46321</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8576-2023</t>
        </is>
      </c>
      <c r="B24" t="inlineStr">
        <is>
          <t>avverkningsanmälan</t>
        </is>
      </c>
      <c r="C24" t="inlineStr">
        <is>
          <t>Föryngringsavverkning</t>
        </is>
      </c>
      <c r="D24" s="1" t="n">
        <v>44977</v>
      </c>
      <c r="E24" s="1" t="n">
        <v>46321</v>
      </c>
      <c r="F24" t="inlineStr">
        <is>
          <t>VÄSTRA GÖTALANDS LÄN</t>
        </is>
      </c>
      <c r="G24" t="inlineStr">
        <is>
          <t>STENUNGSUND</t>
        </is>
      </c>
      <c r="I24" t="n">
        <v>2.1</v>
      </c>
      <c r="J24" t="n">
        <v>1</v>
      </c>
      <c r="K24" t="n">
        <v>0</v>
      </c>
      <c r="L24" t="n">
        <v>0</v>
      </c>
      <c r="M24" t="n">
        <v>0</v>
      </c>
      <c r="N24" t="n">
        <v>0</v>
      </c>
      <c r="O24" t="n">
        <v>0</v>
      </c>
      <c r="P24" t="n">
        <v>0</v>
      </c>
      <c r="Q24" t="n">
        <v>0</v>
      </c>
      <c r="R24" t="n">
        <v>0</v>
      </c>
      <c r="S24" t="n">
        <v>1</v>
      </c>
      <c r="T24" t="n">
        <v>1</v>
      </c>
      <c r="U24" t="n">
        <v>1</v>
      </c>
      <c r="V24" s="2" t="inlineStr">
        <is>
          <t>Kungsfågel</t>
        </is>
      </c>
      <c r="W24">
        <f>HYPERLINK("https://klasma.github.io/Logging_1415/artfynd/A 8576-2023 artfynd.xlsx", "A 8576-2023")</f>
        <v/>
      </c>
      <c r="X24">
        <f>HYPERLINK("https://klasma.github.io/Logging_1415/kartor/A 8576-2023 karta.png", "A 8576-2023")</f>
        <v/>
      </c>
      <c r="Y24">
        <f>HYPERLINK("https://klasma.github.io/Logging_1415/kartor_geotiff/A 8576-2023 georefererad karta.tif", "A 8576-2023")</f>
        <v/>
      </c>
      <c r="AA24">
        <f>HYPERLINK("https://klasma.github.io/Logging_1415/klagomål/A 8576-2023 FSC-klagomål.docx", "A 8576-2023")</f>
        <v/>
      </c>
      <c r="AB24">
        <f>HYPERLINK("https://klasma.github.io/Logging_1415/klagomålsmail/A 8576-2023 FSC-klagomål mail.docx", "A 8576-2023")</f>
        <v/>
      </c>
      <c r="AC24">
        <f>HYPERLINK("https://klasma.github.io/Logging_1415/tillsyn/A 8576-2023 tillsynsbegäran.docx", "A 8576-2023")</f>
        <v/>
      </c>
      <c r="AD24">
        <f>HYPERLINK("https://klasma.github.io/Logging_1415/tillsynsmail/A 8576-2023 tillsynsbegäran mail.docx", "A 8576-2023")</f>
        <v/>
      </c>
    </row>
    <row r="25" ht="15" customHeight="1">
      <c r="A25" t="inlineStr">
        <is>
          <t>A 48215-2022</t>
        </is>
      </c>
      <c r="B25" t="inlineStr">
        <is>
          <t>avverkningsanmälan</t>
        </is>
      </c>
      <c r="C25" t="inlineStr">
        <is>
          <t>Föryngringsavverkning</t>
        </is>
      </c>
      <c r="D25" s="1" t="n">
        <v>44858</v>
      </c>
      <c r="E25" s="1" t="n">
        <v>46321</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46321</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46321</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46321</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46321</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38996-2025</t>
        </is>
      </c>
      <c r="B30" t="inlineStr">
        <is>
          <t>avverkningsanmälan</t>
        </is>
      </c>
      <c r="C30" t="inlineStr">
        <is>
          <t>Föryngringsavverkning</t>
        </is>
      </c>
      <c r="D30" s="1" t="n">
        <v>45888</v>
      </c>
      <c r="E30" s="1" t="n">
        <v>46321</v>
      </c>
      <c r="F30" t="inlineStr">
        <is>
          <t>VÄSTRA GÖTALANDS LÄN</t>
        </is>
      </c>
      <c r="G30" t="inlineStr">
        <is>
          <t>STENUNGSUND</t>
        </is>
      </c>
      <c r="I30" t="n">
        <v>2.3</v>
      </c>
      <c r="J30" t="n">
        <v>0</v>
      </c>
      <c r="K30" t="n">
        <v>0</v>
      </c>
      <c r="L30" t="n">
        <v>0</v>
      </c>
      <c r="M30" t="n">
        <v>0</v>
      </c>
      <c r="N30" t="n">
        <v>0</v>
      </c>
      <c r="O30" t="n">
        <v>0</v>
      </c>
      <c r="P30" t="n">
        <v>0</v>
      </c>
      <c r="Q30" t="n">
        <v>0</v>
      </c>
      <c r="R30" t="n">
        <v>0</v>
      </c>
      <c r="S30" t="n">
        <v>0</v>
      </c>
      <c r="T30" t="n">
        <v>0</v>
      </c>
      <c r="U30" t="n">
        <v>0</v>
      </c>
      <c r="V30" s="2" t="inlineStr"/>
    </row>
    <row r="31" ht="15" customHeight="1">
      <c r="A31" t="inlineStr">
        <is>
          <t>A 20974-2025</t>
        </is>
      </c>
      <c r="B31" t="inlineStr">
        <is>
          <t>avverkningsanmälan</t>
        </is>
      </c>
      <c r="C31" t="inlineStr">
        <is>
          <t>Föryngringsavverkning</t>
        </is>
      </c>
      <c r="D31" s="1" t="n">
        <v>45777</v>
      </c>
      <c r="E31" s="1" t="n">
        <v>46321</v>
      </c>
      <c r="F31" t="inlineStr">
        <is>
          <t>VÄSTRA GÖTALANDS LÄN</t>
        </is>
      </c>
      <c r="G31" t="inlineStr">
        <is>
          <t>STENUNGSUND</t>
        </is>
      </c>
      <c r="I31" t="n">
        <v>10.3</v>
      </c>
      <c r="J31" t="n">
        <v>0</v>
      </c>
      <c r="K31" t="n">
        <v>0</v>
      </c>
      <c r="L31" t="n">
        <v>0</v>
      </c>
      <c r="M31" t="n">
        <v>0</v>
      </c>
      <c r="N31" t="n">
        <v>0</v>
      </c>
      <c r="O31" t="n">
        <v>0</v>
      </c>
      <c r="P31" t="n">
        <v>0</v>
      </c>
      <c r="Q31" t="n">
        <v>0</v>
      </c>
      <c r="R31" t="n">
        <v>0</v>
      </c>
      <c r="S31" t="n">
        <v>0</v>
      </c>
      <c r="T31" t="n">
        <v>0</v>
      </c>
      <c r="U31" t="n">
        <v>0</v>
      </c>
      <c r="V31" s="2" t="inlineStr"/>
    </row>
    <row r="32" ht="15" customHeight="1">
      <c r="A32" t="inlineStr">
        <is>
          <t>A 38994-2025</t>
        </is>
      </c>
      <c r="B32" t="inlineStr">
        <is>
          <t>avverkningsanmälan</t>
        </is>
      </c>
      <c r="C32" t="inlineStr">
        <is>
          <t>Föryngringsavverkning</t>
        </is>
      </c>
      <c r="D32" s="1" t="n">
        <v>45888</v>
      </c>
      <c r="E32" s="1" t="n">
        <v>46321</v>
      </c>
      <c r="F32" t="inlineStr">
        <is>
          <t>VÄSTRA GÖTALANDS LÄN</t>
        </is>
      </c>
      <c r="G32" t="inlineStr">
        <is>
          <t>STENUNGSUND</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46321</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34253-2023</t>
        </is>
      </c>
      <c r="B34" t="inlineStr">
        <is>
          <t>avverkningsanmälan</t>
        </is>
      </c>
      <c r="C34" t="inlineStr">
        <is>
          <t>Föryngringsavverkning</t>
        </is>
      </c>
      <c r="D34" s="1" t="n">
        <v>45138</v>
      </c>
      <c r="E34" s="1" t="n">
        <v>46321</v>
      </c>
      <c r="F34" t="inlineStr">
        <is>
          <t>VÄSTRA GÖTALANDS LÄN</t>
        </is>
      </c>
      <c r="G34" t="inlineStr">
        <is>
          <t>STENUNGSUND</t>
        </is>
      </c>
      <c r="I34" t="n">
        <v>1.8</v>
      </c>
      <c r="J34" t="n">
        <v>0</v>
      </c>
      <c r="K34" t="n">
        <v>0</v>
      </c>
      <c r="L34" t="n">
        <v>0</v>
      </c>
      <c r="M34" t="n">
        <v>0</v>
      </c>
      <c r="N34" t="n">
        <v>0</v>
      </c>
      <c r="O34" t="n">
        <v>0</v>
      </c>
      <c r="P34" t="n">
        <v>0</v>
      </c>
      <c r="Q34" t="n">
        <v>0</v>
      </c>
      <c r="R34" t="n">
        <v>0</v>
      </c>
      <c r="S34" t="n">
        <v>0</v>
      </c>
      <c r="T34" t="n">
        <v>0</v>
      </c>
      <c r="U34" t="n">
        <v>0</v>
      </c>
      <c r="V34" s="2" t="inlineStr"/>
    </row>
    <row r="35" ht="15" customHeight="1">
      <c r="A35" t="inlineStr">
        <is>
          <t>A 51367-2024</t>
        </is>
      </c>
      <c r="B35" t="inlineStr">
        <is>
          <t>avverkningsanmälan</t>
        </is>
      </c>
      <c r="C35" t="inlineStr">
        <is>
          <t>Föryngringsavverkning</t>
        </is>
      </c>
      <c r="D35" s="1" t="n">
        <v>45604</v>
      </c>
      <c r="E35" s="1" t="n">
        <v>46321</v>
      </c>
      <c r="F35" t="inlineStr">
        <is>
          <t>VÄSTRA GÖTALANDS LÄN</t>
        </is>
      </c>
      <c r="G35" t="inlineStr">
        <is>
          <t>STENUNGSUND</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42791-2025</t>
        </is>
      </c>
      <c r="B36" t="inlineStr">
        <is>
          <t>avverkningsanmälan</t>
        </is>
      </c>
      <c r="C36" t="inlineStr">
        <is>
          <t>Föryngringsavverkning</t>
        </is>
      </c>
      <c r="D36" s="1" t="n">
        <v>45908</v>
      </c>
      <c r="E36" s="1" t="n">
        <v>46321</v>
      </c>
      <c r="F36" t="inlineStr">
        <is>
          <t>VÄSTRA GÖTALANDS LÄN</t>
        </is>
      </c>
      <c r="G36" t="inlineStr">
        <is>
          <t>STENUNGSUND</t>
        </is>
      </c>
      <c r="I36" t="n">
        <v>1.9</v>
      </c>
      <c r="J36" t="n">
        <v>0</v>
      </c>
      <c r="K36" t="n">
        <v>0</v>
      </c>
      <c r="L36" t="n">
        <v>0</v>
      </c>
      <c r="M36" t="n">
        <v>0</v>
      </c>
      <c r="N36" t="n">
        <v>0</v>
      </c>
      <c r="O36" t="n">
        <v>0</v>
      </c>
      <c r="P36" t="n">
        <v>0</v>
      </c>
      <c r="Q36" t="n">
        <v>0</v>
      </c>
      <c r="R36" t="n">
        <v>0</v>
      </c>
      <c r="S36" t="n">
        <v>0</v>
      </c>
      <c r="T36" t="n">
        <v>0</v>
      </c>
      <c r="U36" t="n">
        <v>0</v>
      </c>
      <c r="V36" s="2" t="inlineStr"/>
    </row>
    <row r="37" ht="15" customHeight="1">
      <c r="A37" t="inlineStr">
        <is>
          <t>A 23115-2026</t>
        </is>
      </c>
      <c r="B37" t="inlineStr">
        <is>
          <t>avverkningsanmälan</t>
        </is>
      </c>
      <c r="C37" t="inlineStr">
        <is>
          <t>Föryngringsavverkning</t>
        </is>
      </c>
      <c r="D37" s="1" t="n">
        <v>46161</v>
      </c>
      <c r="E37" s="1" t="n">
        <v>46321</v>
      </c>
      <c r="F37" t="inlineStr">
        <is>
          <t>VÄSTRA GÖTALANDS LÄN</t>
        </is>
      </c>
      <c r="G37" t="inlineStr">
        <is>
          <t>STENUNGSUND</t>
        </is>
      </c>
      <c r="I37" t="n">
        <v>5.9</v>
      </c>
      <c r="J37" t="n">
        <v>0</v>
      </c>
      <c r="K37" t="n">
        <v>0</v>
      </c>
      <c r="L37" t="n">
        <v>0</v>
      </c>
      <c r="M37" t="n">
        <v>0</v>
      </c>
      <c r="N37" t="n">
        <v>0</v>
      </c>
      <c r="O37" t="n">
        <v>0</v>
      </c>
      <c r="P37" t="n">
        <v>0</v>
      </c>
      <c r="Q37" t="n">
        <v>0</v>
      </c>
      <c r="R37" t="n">
        <v>0</v>
      </c>
      <c r="S37" t="n">
        <v>0</v>
      </c>
      <c r="T37" t="n">
        <v>0</v>
      </c>
      <c r="U37" t="n">
        <v>0</v>
      </c>
      <c r="V37" s="2" t="inlineStr"/>
    </row>
    <row r="38" ht="15" customHeight="1">
      <c r="A38" t="inlineStr">
        <is>
          <t>A 54931-2024</t>
        </is>
      </c>
      <c r="B38" t="inlineStr">
        <is>
          <t>avverkningsanmälan</t>
        </is>
      </c>
      <c r="C38" t="inlineStr">
        <is>
          <t>Föryngringsavverkning</t>
        </is>
      </c>
      <c r="D38" s="1" t="n">
        <v>45618</v>
      </c>
      <c r="E38" s="1" t="n">
        <v>46321</v>
      </c>
      <c r="F38" t="inlineStr">
        <is>
          <t>VÄSTRA GÖTALANDS LÄN</t>
        </is>
      </c>
      <c r="G38" t="inlineStr">
        <is>
          <t>STENUNGSUND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19709-2026</t>
        </is>
      </c>
      <c r="B39" t="inlineStr">
        <is>
          <t>avverkningsanmälan</t>
        </is>
      </c>
      <c r="C39" t="inlineStr">
        <is>
          <t>Föryngringsavverkning</t>
        </is>
      </c>
      <c r="D39" s="1" t="n">
        <v>46134</v>
      </c>
      <c r="E39" s="1" t="n">
        <v>46321</v>
      </c>
      <c r="F39" t="inlineStr">
        <is>
          <t>VÄSTRA GÖTALANDS LÄN</t>
        </is>
      </c>
      <c r="G39" t="inlineStr">
        <is>
          <t>STENUNGSUND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10472-2024</t>
        </is>
      </c>
      <c r="B40" t="inlineStr">
        <is>
          <t>avverkningsanmälan</t>
        </is>
      </c>
      <c r="C40" t="inlineStr">
        <is>
          <t>Föryngringsavverkning</t>
        </is>
      </c>
      <c r="D40" s="1" t="n">
        <v>45366</v>
      </c>
      <c r="E40" s="1" t="n">
        <v>46321</v>
      </c>
      <c r="F40" t="inlineStr">
        <is>
          <t>VÄSTRA GÖTALANDS LÄN</t>
        </is>
      </c>
      <c r="G40" t="inlineStr">
        <is>
          <t>STENUNGSUND</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22728-2025</t>
        </is>
      </c>
      <c r="B41" t="inlineStr">
        <is>
          <t>avverkningsanmälan</t>
        </is>
      </c>
      <c r="C41" t="inlineStr">
        <is>
          <t>Föryngringsavverkning</t>
        </is>
      </c>
      <c r="D41" s="1" t="n">
        <v>45789</v>
      </c>
      <c r="E41" s="1" t="n">
        <v>46321</v>
      </c>
      <c r="F41" t="inlineStr">
        <is>
          <t>VÄSTRA GÖTALANDS LÄN</t>
        </is>
      </c>
      <c r="G41" t="inlineStr">
        <is>
          <t>STENUNGSUND</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57766-2024</t>
        </is>
      </c>
      <c r="B42" t="inlineStr">
        <is>
          <t>avverkningsanmälan</t>
        </is>
      </c>
      <c r="C42" t="inlineStr">
        <is>
          <t>Föryngringsavverkning</t>
        </is>
      </c>
      <c r="D42" s="1" t="n">
        <v>45630</v>
      </c>
      <c r="E42" s="1" t="n">
        <v>46321</v>
      </c>
      <c r="F42" t="inlineStr">
        <is>
          <t>VÄSTRA GÖTALANDS LÄN</t>
        </is>
      </c>
      <c r="G42" t="inlineStr">
        <is>
          <t>STENUNGSUND</t>
        </is>
      </c>
      <c r="I42" t="n">
        <v>2.5</v>
      </c>
      <c r="J42" t="n">
        <v>0</v>
      </c>
      <c r="K42" t="n">
        <v>0</v>
      </c>
      <c r="L42" t="n">
        <v>0</v>
      </c>
      <c r="M42" t="n">
        <v>0</v>
      </c>
      <c r="N42" t="n">
        <v>0</v>
      </c>
      <c r="O42" t="n">
        <v>0</v>
      </c>
      <c r="P42" t="n">
        <v>0</v>
      </c>
      <c r="Q42" t="n">
        <v>0</v>
      </c>
      <c r="R42" t="n">
        <v>0</v>
      </c>
      <c r="S42" t="n">
        <v>0</v>
      </c>
      <c r="T42" t="n">
        <v>0</v>
      </c>
      <c r="U42" t="n">
        <v>0</v>
      </c>
      <c r="V42" s="2" t="inlineStr"/>
    </row>
    <row r="43" ht="15" customHeight="1">
      <c r="A43" t="inlineStr">
        <is>
          <t>A 57767-2024</t>
        </is>
      </c>
      <c r="B43" t="inlineStr">
        <is>
          <t>avverkningsanmälan</t>
        </is>
      </c>
      <c r="C43" t="inlineStr">
        <is>
          <t>Föryngringsavverkning</t>
        </is>
      </c>
      <c r="D43" s="1" t="n">
        <v>45630</v>
      </c>
      <c r="E43" s="1" t="n">
        <v>46321</v>
      </c>
      <c r="F43" t="inlineStr">
        <is>
          <t>VÄSTRA GÖTALANDS LÄN</t>
        </is>
      </c>
      <c r="G43" t="inlineStr">
        <is>
          <t>STENUNGSUND</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57769-2024</t>
        </is>
      </c>
      <c r="B44" t="inlineStr">
        <is>
          <t>avverkningsanmälan</t>
        </is>
      </c>
      <c r="C44" t="inlineStr">
        <is>
          <t>Föryngringsavverkning</t>
        </is>
      </c>
      <c r="D44" s="1" t="n">
        <v>45630</v>
      </c>
      <c r="E44" s="1" t="n">
        <v>46321</v>
      </c>
      <c r="F44" t="inlineStr">
        <is>
          <t>VÄSTRA GÖTALANDS LÄN</t>
        </is>
      </c>
      <c r="G44" t="inlineStr">
        <is>
          <t>STENUNGSUND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57768-2024</t>
        </is>
      </c>
      <c r="B45" t="inlineStr">
        <is>
          <t>avverkningsanmälan</t>
        </is>
      </c>
      <c r="C45" t="inlineStr">
        <is>
          <t>Föryngringsavverkning</t>
        </is>
      </c>
      <c r="D45" s="1" t="n">
        <v>45630</v>
      </c>
      <c r="E45" s="1" t="n">
        <v>46321</v>
      </c>
      <c r="F45" t="inlineStr">
        <is>
          <t>VÄSTRA GÖTALANDS LÄN</t>
        </is>
      </c>
      <c r="G45" t="inlineStr">
        <is>
          <t>STENUNGSUND</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60550-2023</t>
        </is>
      </c>
      <c r="B46" t="inlineStr">
        <is>
          <t>avverkningsanmälan</t>
        </is>
      </c>
      <c r="C46" t="inlineStr">
        <is>
          <t>Föryngringsavverkning</t>
        </is>
      </c>
      <c r="D46" s="1" t="n">
        <v>45259</v>
      </c>
      <c r="E46" s="1" t="n">
        <v>46321</v>
      </c>
      <c r="F46" t="inlineStr">
        <is>
          <t>VÄSTRA GÖTALANDS LÄN</t>
        </is>
      </c>
      <c r="G46" t="inlineStr">
        <is>
          <t>STENUNGSUND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3569-2023</t>
        </is>
      </c>
      <c r="B47" t="inlineStr">
        <is>
          <t>avverkningsanmälan</t>
        </is>
      </c>
      <c r="C47" t="inlineStr">
        <is>
          <t>Föryngringsavverkning</t>
        </is>
      </c>
      <c r="D47" s="1" t="n">
        <v>44950</v>
      </c>
      <c r="E47" s="1" t="n">
        <v>46321</v>
      </c>
      <c r="F47" t="inlineStr">
        <is>
          <t>VÄSTRA GÖTALANDS LÄN</t>
        </is>
      </c>
      <c r="G47" t="inlineStr">
        <is>
          <t>STENUNGSUND</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8684-2024</t>
        </is>
      </c>
      <c r="B48" t="inlineStr">
        <is>
          <t>avverkningsanmälan</t>
        </is>
      </c>
      <c r="C48" t="inlineStr">
        <is>
          <t>Föryngringsavverkning</t>
        </is>
      </c>
      <c r="D48" s="1" t="n">
        <v>45356</v>
      </c>
      <c r="E48" s="1" t="n">
        <v>46321</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8544-2023</t>
        </is>
      </c>
      <c r="B49" t="inlineStr">
        <is>
          <t>avverkningsanmälan</t>
        </is>
      </c>
      <c r="C49" t="inlineStr">
        <is>
          <t>Föryngringsavverkning</t>
        </is>
      </c>
      <c r="D49" s="1" t="n">
        <v>44977</v>
      </c>
      <c r="E49" s="1" t="n">
        <v>46321</v>
      </c>
      <c r="F49" t="inlineStr">
        <is>
          <t>VÄSTRA GÖTALANDS LÄN</t>
        </is>
      </c>
      <c r="G49" t="inlineStr">
        <is>
          <t>STENUNGSUND</t>
        </is>
      </c>
      <c r="I49" t="n">
        <v>8.199999999999999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50205-2025</t>
        </is>
      </c>
      <c r="B50" t="inlineStr">
        <is>
          <t>avverkningsanmälan</t>
        </is>
      </c>
      <c r="C50" t="inlineStr">
        <is>
          <t>Föryngringsavverkning</t>
        </is>
      </c>
      <c r="D50" s="1" t="n">
        <v>45943</v>
      </c>
      <c r="E50" s="1" t="n">
        <v>46321</v>
      </c>
      <c r="F50" t="inlineStr">
        <is>
          <t>VÄSTRA GÖTALANDS LÄN</t>
        </is>
      </c>
      <c r="G50" t="inlineStr">
        <is>
          <t>STENUNGSUND</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27030-2023</t>
        </is>
      </c>
      <c r="B51" t="inlineStr">
        <is>
          <t>avverkningsanmälan</t>
        </is>
      </c>
      <c r="C51" t="inlineStr">
        <is>
          <t>Föryngringsavverkning</t>
        </is>
      </c>
      <c r="D51" s="1" t="n">
        <v>45095</v>
      </c>
      <c r="E51" s="1" t="n">
        <v>46321</v>
      </c>
      <c r="F51" t="inlineStr">
        <is>
          <t>VÄSTRA GÖTALANDS LÄN</t>
        </is>
      </c>
      <c r="G51" t="inlineStr">
        <is>
          <t>STENUNGSUND</t>
        </is>
      </c>
      <c r="I51" t="n">
        <v>3.1</v>
      </c>
      <c r="J51" t="n">
        <v>0</v>
      </c>
      <c r="K51" t="n">
        <v>0</v>
      </c>
      <c r="L51" t="n">
        <v>0</v>
      </c>
      <c r="M51" t="n">
        <v>0</v>
      </c>
      <c r="N51" t="n">
        <v>0</v>
      </c>
      <c r="O51" t="n">
        <v>0</v>
      </c>
      <c r="P51" t="n">
        <v>0</v>
      </c>
      <c r="Q51" t="n">
        <v>0</v>
      </c>
      <c r="R51" t="n">
        <v>0</v>
      </c>
      <c r="S51" t="n">
        <v>0</v>
      </c>
      <c r="T51" t="n">
        <v>0</v>
      </c>
      <c r="U51" t="n">
        <v>0</v>
      </c>
      <c r="V51" s="2" t="inlineStr"/>
    </row>
    <row r="52" ht="15" customHeight="1">
      <c r="A52" t="inlineStr">
        <is>
          <t>A 30175-2022</t>
        </is>
      </c>
      <c r="B52" t="inlineStr">
        <is>
          <t>avverkningsanmälan</t>
        </is>
      </c>
      <c r="C52" t="inlineStr">
        <is>
          <t>Föryngringsavverkning</t>
        </is>
      </c>
      <c r="D52" s="1" t="n">
        <v>44757</v>
      </c>
      <c r="E52" s="1" t="n">
        <v>46321</v>
      </c>
      <c r="F52" t="inlineStr">
        <is>
          <t>VÄSTRA GÖTALANDS LÄN</t>
        </is>
      </c>
      <c r="G52" t="inlineStr">
        <is>
          <t>STENUNGSUND</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33011-2022</t>
        </is>
      </c>
      <c r="B53" t="inlineStr">
        <is>
          <t>avverkningsanmälan</t>
        </is>
      </c>
      <c r="C53" t="inlineStr">
        <is>
          <t>Föryngringsavverkning</t>
        </is>
      </c>
      <c r="D53" s="1" t="n">
        <v>44785</v>
      </c>
      <c r="E53" s="1" t="n">
        <v>46321</v>
      </c>
      <c r="F53" t="inlineStr">
        <is>
          <t>VÄSTRA GÖTALANDS LÄN</t>
        </is>
      </c>
      <c r="G53" t="inlineStr">
        <is>
          <t>STENUNGSUND</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50543-2025</t>
        </is>
      </c>
      <c r="B54" t="inlineStr">
        <is>
          <t>avverkningsanmälan</t>
        </is>
      </c>
      <c r="C54" t="inlineStr">
        <is>
          <t>Föryngringsavverkning</t>
        </is>
      </c>
      <c r="D54" s="1" t="n">
        <v>45945</v>
      </c>
      <c r="E54" s="1" t="n">
        <v>46321</v>
      </c>
      <c r="F54" t="inlineStr">
        <is>
          <t>VÄSTRA GÖTALANDS LÄN</t>
        </is>
      </c>
      <c r="G54" t="inlineStr">
        <is>
          <t>STENUNGSUND</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50538-2025</t>
        </is>
      </c>
      <c r="B55" t="inlineStr">
        <is>
          <t>avverkningsanmälan</t>
        </is>
      </c>
      <c r="C55" t="inlineStr">
        <is>
          <t>Föryngringsavverkning</t>
        </is>
      </c>
      <c r="D55" s="1" t="n">
        <v>45945</v>
      </c>
      <c r="E55" s="1" t="n">
        <v>46321</v>
      </c>
      <c r="F55" t="inlineStr">
        <is>
          <t>VÄSTRA GÖTALANDS LÄN</t>
        </is>
      </c>
      <c r="G55" t="inlineStr">
        <is>
          <t>STENUNGSUND</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52012-2025</t>
        </is>
      </c>
      <c r="B56" t="inlineStr">
        <is>
          <t>avverkningsanmälan</t>
        </is>
      </c>
      <c r="C56" t="inlineStr">
        <is>
          <t>Föryngringsavverkning</t>
        </is>
      </c>
      <c r="D56" s="1" t="n">
        <v>45952</v>
      </c>
      <c r="E56" s="1" t="n">
        <v>46321</v>
      </c>
      <c r="F56" t="inlineStr">
        <is>
          <t>VÄSTRA GÖTALANDS LÄN</t>
        </is>
      </c>
      <c r="G56" t="inlineStr">
        <is>
          <t>STENUNGSUND</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26654-2026</t>
        </is>
      </c>
      <c r="B57" t="inlineStr">
        <is>
          <t>avverkningsanmälan</t>
        </is>
      </c>
      <c r="C57" t="inlineStr">
        <is>
          <t>Föryngringsavverkning</t>
        </is>
      </c>
      <c r="D57" s="1" t="n">
        <v>46184</v>
      </c>
      <c r="E57" s="1" t="n">
        <v>46321</v>
      </c>
      <c r="F57" t="inlineStr">
        <is>
          <t>VÄSTRA GÖTALANDS LÄN</t>
        </is>
      </c>
      <c r="G57" t="inlineStr">
        <is>
          <t>STENUNGSUND</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54247-2025</t>
        </is>
      </c>
      <c r="B58" t="inlineStr">
        <is>
          <t>avverkningsanmälan</t>
        </is>
      </c>
      <c r="C58" t="inlineStr">
        <is>
          <t>Föryngringsavverkning</t>
        </is>
      </c>
      <c r="D58" s="1" t="n">
        <v>45964</v>
      </c>
      <c r="E58" s="1" t="n">
        <v>46321</v>
      </c>
      <c r="F58" t="inlineStr">
        <is>
          <t>VÄSTRA GÖTALANDS LÄN</t>
        </is>
      </c>
      <c r="G58" t="inlineStr">
        <is>
          <t>STENUNGSUND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48895-2023</t>
        </is>
      </c>
      <c r="B59" t="inlineStr">
        <is>
          <t>avverkningsanmälan</t>
        </is>
      </c>
      <c r="C59" t="inlineStr">
        <is>
          <t>Föryngringsavverkning</t>
        </is>
      </c>
      <c r="D59" s="1" t="n">
        <v>45209</v>
      </c>
      <c r="E59" s="1" t="n">
        <v>46321</v>
      </c>
      <c r="F59" t="inlineStr">
        <is>
          <t>VÄSTRA GÖTALANDS LÄN</t>
        </is>
      </c>
      <c r="G59" t="inlineStr">
        <is>
          <t>STENUNGSUND</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28665-2026</t>
        </is>
      </c>
      <c r="B60" t="inlineStr">
        <is>
          <t>avverkningsanmälan</t>
        </is>
      </c>
      <c r="C60" t="inlineStr">
        <is>
          <t>Föryngringsavverkning</t>
        </is>
      </c>
      <c r="D60" s="1" t="n">
        <v>46191</v>
      </c>
      <c r="E60" s="1" t="n">
        <v>46321</v>
      </c>
      <c r="F60" t="inlineStr">
        <is>
          <t>VÄSTRA GÖTALANDS LÄN</t>
        </is>
      </c>
      <c r="G60" t="inlineStr">
        <is>
          <t>STENUNGSUND</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36018-2025</t>
        </is>
      </c>
      <c r="B61" t="inlineStr">
        <is>
          <t>avverkningsanmälan</t>
        </is>
      </c>
      <c r="C61" t="inlineStr">
        <is>
          <t>Föryngringsavverkning</t>
        </is>
      </c>
      <c r="D61" s="1" t="n">
        <v>45863</v>
      </c>
      <c r="E61" s="1" t="n">
        <v>46321</v>
      </c>
      <c r="F61" t="inlineStr">
        <is>
          <t>VÄSTRA GÖTALANDS LÄN</t>
        </is>
      </c>
      <c r="G61" t="inlineStr">
        <is>
          <t>STENUNGSUND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8567-2023</t>
        </is>
      </c>
      <c r="B62" t="inlineStr">
        <is>
          <t>avverkningsanmälan</t>
        </is>
      </c>
      <c r="C62" t="inlineStr">
        <is>
          <t>Föryngringsavverkning</t>
        </is>
      </c>
      <c r="D62" s="1" t="n">
        <v>44977</v>
      </c>
      <c r="E62" s="1" t="n">
        <v>46321</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30170-2026</t>
        </is>
      </c>
      <c r="B63" t="inlineStr">
        <is>
          <t>avverkningsanmälan</t>
        </is>
      </c>
      <c r="C63" t="inlineStr">
        <is>
          <t>Föryngringsavverkning</t>
        </is>
      </c>
      <c r="D63" s="1" t="n">
        <v>46206</v>
      </c>
      <c r="E63" s="1" t="n">
        <v>46321</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60687-2025</t>
        </is>
      </c>
      <c r="B64" t="inlineStr">
        <is>
          <t>avverkningsanmälan</t>
        </is>
      </c>
      <c r="C64" t="inlineStr">
        <is>
          <t>Föryngringsavverkning</t>
        </is>
      </c>
      <c r="D64" s="1" t="n">
        <v>45996</v>
      </c>
      <c r="E64" s="1" t="n">
        <v>46321</v>
      </c>
      <c r="F64" t="inlineStr">
        <is>
          <t>VÄSTRA GÖTALANDS LÄN</t>
        </is>
      </c>
      <c r="G64" t="inlineStr">
        <is>
          <t>STENUNGSUND</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809-2025</t>
        </is>
      </c>
      <c r="B65" t="inlineStr">
        <is>
          <t>avverkningsanmälan</t>
        </is>
      </c>
      <c r="C65" t="inlineStr">
        <is>
          <t>Föryngringsavverkning</t>
        </is>
      </c>
      <c r="D65" s="1" t="n">
        <v>45665</v>
      </c>
      <c r="E65" s="1" t="n">
        <v>46321</v>
      </c>
      <c r="F65" t="inlineStr">
        <is>
          <t>VÄSTRA GÖTALANDS LÄN</t>
        </is>
      </c>
      <c r="G65" t="inlineStr">
        <is>
          <t>STENUNGSUND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32997-2025</t>
        </is>
      </c>
      <c r="B66" t="inlineStr">
        <is>
          <t>avverkningsanmälan</t>
        </is>
      </c>
      <c r="C66" t="inlineStr">
        <is>
          <t>Föryngringsavverkning</t>
        </is>
      </c>
      <c r="D66" s="1" t="n">
        <v>45840</v>
      </c>
      <c r="E66" s="1" t="n">
        <v>46321</v>
      </c>
      <c r="F66" t="inlineStr">
        <is>
          <t>VÄSTRA GÖTALANDS LÄN</t>
        </is>
      </c>
      <c r="G66" t="inlineStr">
        <is>
          <t>STENUNGSUND</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4734-2023</t>
        </is>
      </c>
      <c r="B67" t="inlineStr">
        <is>
          <t>avverkningsanmälan</t>
        </is>
      </c>
      <c r="C67" t="inlineStr">
        <is>
          <t>Föryngringsavverkning</t>
        </is>
      </c>
      <c r="D67" s="1" t="n">
        <v>44957</v>
      </c>
      <c r="E67" s="1" t="n">
        <v>46321</v>
      </c>
      <c r="F67" t="inlineStr">
        <is>
          <t>VÄSTRA GÖTALANDS LÄN</t>
        </is>
      </c>
      <c r="G67" t="inlineStr">
        <is>
          <t>STENUNGSUND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38641-2026</t>
        </is>
      </c>
      <c r="B68" t="inlineStr">
        <is>
          <t>avverkningsanmälan</t>
        </is>
      </c>
      <c r="C68" t="inlineStr">
        <is>
          <t>Föryngringsavverkning</t>
        </is>
      </c>
      <c r="D68" s="1" t="n">
        <v>46283</v>
      </c>
      <c r="E68" s="1" t="n">
        <v>46321</v>
      </c>
      <c r="F68" t="inlineStr">
        <is>
          <t>VÄSTRA GÖTALANDS LÄN</t>
        </is>
      </c>
      <c r="G68" t="inlineStr">
        <is>
          <t>STENUNGSUND</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2472-2026</t>
        </is>
      </c>
      <c r="B69" t="inlineStr">
        <is>
          <t>avverkningsanmälan</t>
        </is>
      </c>
      <c r="C69" t="inlineStr">
        <is>
          <t>Föryngringsavverkning</t>
        </is>
      </c>
      <c r="D69" s="1" t="n">
        <v>46037</v>
      </c>
      <c r="E69" s="1" t="n">
        <v>46321</v>
      </c>
      <c r="F69" t="inlineStr">
        <is>
          <t>VÄSTRA GÖTALANDS LÄN</t>
        </is>
      </c>
      <c r="G69" t="inlineStr">
        <is>
          <t>STENUNGSUND</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2481-2026</t>
        </is>
      </c>
      <c r="B70" t="inlineStr">
        <is>
          <t>avverkningsanmälan</t>
        </is>
      </c>
      <c r="C70" t="inlineStr">
        <is>
          <t>Föryngringsavverkning</t>
        </is>
      </c>
      <c r="D70" s="1" t="n">
        <v>46037</v>
      </c>
      <c r="E70" s="1" t="n">
        <v>46321</v>
      </c>
      <c r="F70" t="inlineStr">
        <is>
          <t>VÄSTRA GÖTALANDS LÄN</t>
        </is>
      </c>
      <c r="G70" t="inlineStr">
        <is>
          <t>STENUNGSUND</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24211-2025</t>
        </is>
      </c>
      <c r="B71" t="inlineStr">
        <is>
          <t>avverkningsanmälan</t>
        </is>
      </c>
      <c r="C71" t="inlineStr">
        <is>
          <t>Föryngringsavverkning</t>
        </is>
      </c>
      <c r="D71" s="1" t="n">
        <v>45797</v>
      </c>
      <c r="E71" s="1" t="n">
        <v>46321</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39682-2026</t>
        </is>
      </c>
      <c r="B72" t="inlineStr">
        <is>
          <t>avverkningsanmälan</t>
        </is>
      </c>
      <c r="C72" t="inlineStr">
        <is>
          <t>Föryngringsavverkning</t>
        </is>
      </c>
      <c r="D72" s="1" t="n">
        <v>46289</v>
      </c>
      <c r="E72" s="1" t="n">
        <v>46321</v>
      </c>
      <c r="F72" t="inlineStr">
        <is>
          <t>VÄSTRA GÖTALANDS LÄN</t>
        </is>
      </c>
      <c r="G72" t="inlineStr">
        <is>
          <t>STENUNGSUND</t>
        </is>
      </c>
      <c r="I72" t="n">
        <v>8.699999999999999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60832-2024</t>
        </is>
      </c>
      <c r="B73" t="inlineStr">
        <is>
          <t>avverkningsanmälan</t>
        </is>
      </c>
      <c r="C73" t="inlineStr">
        <is>
          <t>Föryngringsavverkning</t>
        </is>
      </c>
      <c r="D73" s="1" t="n">
        <v>45644</v>
      </c>
      <c r="E73" s="1" t="n">
        <v>46321</v>
      </c>
      <c r="F73" t="inlineStr">
        <is>
          <t>VÄSTRA GÖTALANDS LÄN</t>
        </is>
      </c>
      <c r="G73" t="inlineStr">
        <is>
          <t>STENUNGSUND</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11362-2025</t>
        </is>
      </c>
      <c r="B74" t="inlineStr">
        <is>
          <t>avverkningsanmälan</t>
        </is>
      </c>
      <c r="C74" t="inlineStr">
        <is>
          <t>Föryngringsavverkning</t>
        </is>
      </c>
      <c r="D74" s="1" t="n">
        <v>45726</v>
      </c>
      <c r="E74" s="1" t="n">
        <v>46321</v>
      </c>
      <c r="F74" t="inlineStr">
        <is>
          <t>VÄSTRA GÖTALANDS LÄN</t>
        </is>
      </c>
      <c r="G74" t="inlineStr">
        <is>
          <t>STENUNGSUND</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48365-2024</t>
        </is>
      </c>
      <c r="B75" t="inlineStr">
        <is>
          <t>avverkningsanmälan</t>
        </is>
      </c>
      <c r="C75" t="inlineStr">
        <is>
          <t>Föryngringsavverkning</t>
        </is>
      </c>
      <c r="D75" s="1" t="n">
        <v>45590</v>
      </c>
      <c r="E75" s="1" t="n">
        <v>46321</v>
      </c>
      <c r="F75" t="inlineStr">
        <is>
          <t>VÄSTRA GÖTALANDS LÄN</t>
        </is>
      </c>
      <c r="G75" t="inlineStr">
        <is>
          <t>STENUNGSUND</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9893-2025</t>
        </is>
      </c>
      <c r="B76" t="inlineStr">
        <is>
          <t>avverkningsanmälan</t>
        </is>
      </c>
      <c r="C76" t="inlineStr">
        <is>
          <t>Föryngringsavverkning</t>
        </is>
      </c>
      <c r="D76" s="1" t="n">
        <v>45716</v>
      </c>
      <c r="E76" s="1" t="n">
        <v>46321</v>
      </c>
      <c r="F76" t="inlineStr">
        <is>
          <t>VÄSTRA GÖTALANDS LÄN</t>
        </is>
      </c>
      <c r="G76" t="inlineStr">
        <is>
          <t>STENUNGSUND</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2412-2024</t>
        </is>
      </c>
      <c r="B77" t="inlineStr">
        <is>
          <t>avverkningsanmälan</t>
        </is>
      </c>
      <c r="C77" t="inlineStr">
        <is>
          <t>Föryngringsavverkning</t>
        </is>
      </c>
      <c r="D77" s="1" t="n">
        <v>45310</v>
      </c>
      <c r="E77" s="1" t="n">
        <v>46321</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32960-2023</t>
        </is>
      </c>
      <c r="B78" t="inlineStr">
        <is>
          <t>avverkningsanmälan</t>
        </is>
      </c>
      <c r="C78" t="inlineStr">
        <is>
          <t>Avverkning för annat ändamål</t>
        </is>
      </c>
      <c r="D78" s="1" t="n">
        <v>45125</v>
      </c>
      <c r="E78" s="1" t="n">
        <v>46321</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32931-2026</t>
        </is>
      </c>
      <c r="B79" t="inlineStr">
        <is>
          <t>avverkningsanmälan</t>
        </is>
      </c>
      <c r="C79" t="inlineStr">
        <is>
          <t>Föryngringsavverkning</t>
        </is>
      </c>
      <c r="D79" s="1" t="n">
        <v>46244</v>
      </c>
      <c r="E79" s="1" t="n">
        <v>46321</v>
      </c>
      <c r="F79" t="inlineStr">
        <is>
          <t>VÄSTRA GÖTALANDS LÄN</t>
        </is>
      </c>
      <c r="G79" t="inlineStr">
        <is>
          <t>STENUNGSUND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35172-2025</t>
        </is>
      </c>
      <c r="B80" t="inlineStr">
        <is>
          <t>avverkningsanmälan</t>
        </is>
      </c>
      <c r="C80" t="inlineStr">
        <is>
          <t>Föryngringsavverkning</t>
        </is>
      </c>
      <c r="D80" s="1" t="n">
        <v>45852</v>
      </c>
      <c r="E80" s="1" t="n">
        <v>46321</v>
      </c>
      <c r="F80" t="inlineStr">
        <is>
          <t>VÄSTRA GÖTALANDS LÄN</t>
        </is>
      </c>
      <c r="G80" t="inlineStr">
        <is>
          <t>STENUNGSUND</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9282-2025</t>
        </is>
      </c>
      <c r="B81" t="inlineStr">
        <is>
          <t>avverkningsanmälan</t>
        </is>
      </c>
      <c r="C81" t="inlineStr">
        <is>
          <t>Föryngringsavverkning</t>
        </is>
      </c>
      <c r="D81" s="1" t="n">
        <v>45714</v>
      </c>
      <c r="E81" s="1" t="n">
        <v>46321</v>
      </c>
      <c r="F81" t="inlineStr">
        <is>
          <t>VÄSTRA GÖTALANDS LÄN</t>
        </is>
      </c>
      <c r="G81" t="inlineStr">
        <is>
          <t>STENUNGSUND</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17362-2026</t>
        </is>
      </c>
      <c r="B82" t="inlineStr">
        <is>
          <t>avverkningsanmälan</t>
        </is>
      </c>
      <c r="C82" t="inlineStr">
        <is>
          <t>Föryngringsavverkning</t>
        </is>
      </c>
      <c r="D82" s="1" t="n">
        <v>46119</v>
      </c>
      <c r="E82" s="1" t="n">
        <v>46321</v>
      </c>
      <c r="F82" t="inlineStr">
        <is>
          <t>VÄSTRA GÖTALANDS LÄN</t>
        </is>
      </c>
      <c r="G82" t="inlineStr">
        <is>
          <t>STENUNGSUND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41848-2026</t>
        </is>
      </c>
      <c r="B83" t="inlineStr">
        <is>
          <t>avverkningsanmälan</t>
        </is>
      </c>
      <c r="C83" t="inlineStr">
        <is>
          <t>Föryngringsavverkning</t>
        </is>
      </c>
      <c r="D83" s="1" t="n">
        <v>46303</v>
      </c>
      <c r="E83" s="1" t="n">
        <v>46321</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18016-2026</t>
        </is>
      </c>
      <c r="B84" t="inlineStr">
        <is>
          <t>avverkningsanmälan</t>
        </is>
      </c>
      <c r="C84" t="inlineStr">
        <is>
          <t>Föryngringsavverkning</t>
        </is>
      </c>
      <c r="D84" s="1" t="n">
        <v>46125</v>
      </c>
      <c r="E84" s="1" t="n">
        <v>46321</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14981-2025</t>
        </is>
      </c>
      <c r="B85" t="inlineStr">
        <is>
          <t>avverkningsanmälan</t>
        </is>
      </c>
      <c r="C85" t="inlineStr">
        <is>
          <t>Föryngringsavverkning</t>
        </is>
      </c>
      <c r="D85" s="1" t="n">
        <v>45743</v>
      </c>
      <c r="E85" s="1" t="n">
        <v>46321</v>
      </c>
      <c r="F85" t="inlineStr">
        <is>
          <t>VÄSTRA GÖTALANDS LÄN</t>
        </is>
      </c>
      <c r="G85" t="inlineStr">
        <is>
          <t>STENUNGSUND</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8948-2022</t>
        </is>
      </c>
      <c r="B86" t="inlineStr">
        <is>
          <t>avverkningsanmälan</t>
        </is>
      </c>
      <c r="C86" t="inlineStr">
        <is>
          <t>Avverkning för annat ändamål</t>
        </is>
      </c>
      <c r="D86" s="1" t="n">
        <v>44614</v>
      </c>
      <c r="E86" s="1" t="n">
        <v>46321</v>
      </c>
      <c r="F86" t="inlineStr">
        <is>
          <t>VÄSTRA GÖTALANDS LÄN</t>
        </is>
      </c>
      <c r="G86" t="inlineStr">
        <is>
          <t>STENUNGSUND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42592-2026</t>
        </is>
      </c>
      <c r="B87" t="inlineStr">
        <is>
          <t>avverkningsanmälan</t>
        </is>
      </c>
      <c r="C87" t="inlineStr">
        <is>
          <t>Föryngringsavverkning</t>
        </is>
      </c>
      <c r="D87" s="1" t="n">
        <v>46308</v>
      </c>
      <c r="E87" s="1" t="n">
        <v>46321</v>
      </c>
      <c r="F87" t="inlineStr">
        <is>
          <t>VÄSTRA GÖTALANDS LÄN</t>
        </is>
      </c>
      <c r="G87" t="inlineStr">
        <is>
          <t>STENUNGSUND</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3570-2023</t>
        </is>
      </c>
      <c r="B88" t="inlineStr">
        <is>
          <t>avverkningsanmälan</t>
        </is>
      </c>
      <c r="C88" t="inlineStr">
        <is>
          <t>Föryngringsavverkning</t>
        </is>
      </c>
      <c r="D88" s="1" t="n">
        <v>44950</v>
      </c>
      <c r="E88" s="1" t="n">
        <v>46321</v>
      </c>
      <c r="F88" t="inlineStr">
        <is>
          <t>VÄSTRA GÖTALANDS LÄN</t>
        </is>
      </c>
      <c r="G88" t="inlineStr">
        <is>
          <t>STENUNGSUND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46321</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43627-2026</t>
        </is>
      </c>
      <c r="B90" t="inlineStr">
        <is>
          <t>avverkningsanmälan</t>
        </is>
      </c>
      <c r="C90" t="inlineStr">
        <is>
          <t>Föryngringsavverkning</t>
        </is>
      </c>
      <c r="D90" s="1" t="n">
        <v>46315</v>
      </c>
      <c r="E90" s="1" t="n">
        <v>46321</v>
      </c>
      <c r="F90" t="inlineStr">
        <is>
          <t>VÄSTRA GÖTALANDS LÄN</t>
        </is>
      </c>
      <c r="G90" t="inlineStr">
        <is>
          <t>STENUNGSUND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6913-2024</t>
        </is>
      </c>
      <c r="B91" t="inlineStr">
        <is>
          <t>avverkningsanmälan</t>
        </is>
      </c>
      <c r="C91" t="inlineStr">
        <is>
          <t>Föryngringsavverkning</t>
        </is>
      </c>
      <c r="D91" s="1" t="n">
        <v>45343</v>
      </c>
      <c r="E91" s="1" t="n">
        <v>46321</v>
      </c>
      <c r="F91" t="inlineStr">
        <is>
          <t>VÄSTRA GÖTALANDS LÄN</t>
        </is>
      </c>
      <c r="G91" t="inlineStr">
        <is>
          <t>STENUNGSUND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60158-2024</t>
        </is>
      </c>
      <c r="B92" t="inlineStr">
        <is>
          <t>avverkningsanmälan</t>
        </is>
      </c>
      <c r="C92" t="inlineStr">
        <is>
          <t>Föryngringsavverkning</t>
        </is>
      </c>
      <c r="D92" s="1" t="n">
        <v>45642</v>
      </c>
      <c r="E92" s="1" t="n">
        <v>46321</v>
      </c>
      <c r="F92" t="inlineStr">
        <is>
          <t>VÄSTRA GÖTALANDS LÄN</t>
        </is>
      </c>
      <c r="G92" t="inlineStr">
        <is>
          <t>STENUNGSUND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19059-2023</t>
        </is>
      </c>
      <c r="B93" t="inlineStr">
        <is>
          <t>avverkningsanmälan</t>
        </is>
      </c>
      <c r="C93" t="inlineStr">
        <is>
          <t>Föryngringsavverkning</t>
        </is>
      </c>
      <c r="D93" s="1" t="n">
        <v>45048</v>
      </c>
      <c r="E93" s="1" t="n">
        <v>46321</v>
      </c>
      <c r="F93" t="inlineStr">
        <is>
          <t>VÄSTRA GÖTALANDS LÄN</t>
        </is>
      </c>
      <c r="G93" t="inlineStr">
        <is>
          <t>STENUNGSUND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23762-2024</t>
        </is>
      </c>
      <c r="B94" t="inlineStr">
        <is>
          <t>avverkningsanmälan</t>
        </is>
      </c>
      <c r="C94" t="inlineStr">
        <is>
          <t>Föryngringsavverkning</t>
        </is>
      </c>
      <c r="D94" s="1" t="n">
        <v>45455</v>
      </c>
      <c r="E94" s="1" t="n">
        <v>46321</v>
      </c>
      <c r="F94" t="inlineStr">
        <is>
          <t>VÄSTRA GÖTALANDS LÄN</t>
        </is>
      </c>
      <c r="G94" t="inlineStr">
        <is>
          <t>STENUNGSUND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33010-2022</t>
        </is>
      </c>
      <c r="B95" t="inlineStr">
        <is>
          <t>avverkningsanmälan</t>
        </is>
      </c>
      <c r="C95" t="inlineStr">
        <is>
          <t>Föryngringsavverkning</t>
        </is>
      </c>
      <c r="D95" s="1" t="n">
        <v>44785</v>
      </c>
      <c r="E95" s="1" t="n">
        <v>46321</v>
      </c>
      <c r="F95" t="inlineStr">
        <is>
          <t>VÄSTRA GÖTALANDS LÄN</t>
        </is>
      </c>
      <c r="G95" t="inlineStr">
        <is>
          <t>STENUNGSUND</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19302-2025</t>
        </is>
      </c>
      <c r="B96" t="inlineStr">
        <is>
          <t>avverkningsanmälan</t>
        </is>
      </c>
      <c r="C96" t="inlineStr">
        <is>
          <t>Föryngringsavverkning</t>
        </is>
      </c>
      <c r="D96" s="1" t="n">
        <v>45769</v>
      </c>
      <c r="E96" s="1" t="n">
        <v>46321</v>
      </c>
      <c r="F96" t="inlineStr">
        <is>
          <t>VÄSTRA GÖTALANDS LÄN</t>
        </is>
      </c>
      <c r="G96" t="inlineStr">
        <is>
          <t>STENUNGSUND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64992-2023</t>
        </is>
      </c>
      <c r="B97" t="inlineStr">
        <is>
          <t>avverkningsanmälan</t>
        </is>
      </c>
      <c r="C97" t="inlineStr">
        <is>
          <t>Föryngringsavverkning</t>
        </is>
      </c>
      <c r="D97" s="1" t="n">
        <v>45286</v>
      </c>
      <c r="E97" s="1" t="n">
        <v>46321</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34555-2024</t>
        </is>
      </c>
      <c r="B98" t="inlineStr">
        <is>
          <t>avverkningsanmälan</t>
        </is>
      </c>
      <c r="C98" t="inlineStr">
        <is>
          <t>Föryngringsavverkning</t>
        </is>
      </c>
      <c r="D98" s="1" t="n">
        <v>45525</v>
      </c>
      <c r="E98" s="1" t="n">
        <v>46321</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6699-2022</t>
        </is>
      </c>
      <c r="B99" t="inlineStr">
        <is>
          <t>avverkningsanmälan</t>
        </is>
      </c>
      <c r="C99" t="inlineStr">
        <is>
          <t>Avverkning för annat ändamål</t>
        </is>
      </c>
      <c r="D99" s="1" t="n">
        <v>44602</v>
      </c>
      <c r="E99" s="1" t="n">
        <v>46321</v>
      </c>
      <c r="F99" t="inlineStr">
        <is>
          <t>VÄSTRA GÖTALANDS LÄN</t>
        </is>
      </c>
      <c r="G99" t="inlineStr">
        <is>
          <t>STENUNGSUND</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72944-2021</t>
        </is>
      </c>
      <c r="B100" t="inlineStr">
        <is>
          <t>avverkningsanmälan</t>
        </is>
      </c>
      <c r="C100" t="inlineStr">
        <is>
          <t>Föryngringsavverkning</t>
        </is>
      </c>
      <c r="D100" s="1" t="n">
        <v>44547</v>
      </c>
      <c r="E100" s="1" t="n">
        <v>46321</v>
      </c>
      <c r="F100" t="inlineStr">
        <is>
          <t>VÄSTRA GÖTALANDS LÄN</t>
        </is>
      </c>
      <c r="G100" t="inlineStr">
        <is>
          <t>STENUNGSUND</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15535-2024</t>
        </is>
      </c>
      <c r="B101" t="inlineStr">
        <is>
          <t>avverkningsanmälan</t>
        </is>
      </c>
      <c r="C101" t="inlineStr">
        <is>
          <t>Föryngringsavverkning</t>
        </is>
      </c>
      <c r="D101" s="1" t="n">
        <v>45401</v>
      </c>
      <c r="E101" s="1" t="n">
        <v>46321</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3243-2022</t>
        </is>
      </c>
      <c r="B102" t="inlineStr">
        <is>
          <t>avverkningsanmälan</t>
        </is>
      </c>
      <c r="C102" t="inlineStr">
        <is>
          <t>Föryngringsavverkning</t>
        </is>
      </c>
      <c r="D102" s="1" t="n">
        <v>44582</v>
      </c>
      <c r="E102" s="1" t="n">
        <v>46321</v>
      </c>
      <c r="F102" t="inlineStr">
        <is>
          <t>VÄSTRA GÖTALANDS LÄN</t>
        </is>
      </c>
      <c r="G102" t="inlineStr">
        <is>
          <t>STENUNGSUND</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46321</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40950-2023</t>
        </is>
      </c>
      <c r="B104" t="inlineStr">
        <is>
          <t>avverkningsanmälan</t>
        </is>
      </c>
      <c r="C104" t="inlineStr">
        <is>
          <t>Föryngringsavverkning</t>
        </is>
      </c>
      <c r="D104" s="1" t="n">
        <v>45173</v>
      </c>
      <c r="E104" s="1" t="n">
        <v>46321</v>
      </c>
      <c r="F104" t="inlineStr">
        <is>
          <t>VÄSTRA GÖTALANDS LÄN</t>
        </is>
      </c>
      <c r="G104" t="inlineStr">
        <is>
          <t>STENUNGSUND</t>
        </is>
      </c>
      <c r="I104" t="n">
        <v>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51661-2023</t>
        </is>
      </c>
      <c r="B105" t="inlineStr">
        <is>
          <t>avverkningsanmälan</t>
        </is>
      </c>
      <c r="C105" t="inlineStr">
        <is>
          <t>Föryngringsavverkning</t>
        </is>
      </c>
      <c r="D105" s="1" t="n">
        <v>45215</v>
      </c>
      <c r="E105" s="1" t="n">
        <v>46321</v>
      </c>
      <c r="F105" t="inlineStr">
        <is>
          <t>VÄSTRA GÖTALANDS LÄN</t>
        </is>
      </c>
      <c r="G105" t="inlineStr">
        <is>
          <t>STENUNGSUND</t>
        </is>
      </c>
      <c r="I105" t="n">
        <v>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23070-2022</t>
        </is>
      </c>
      <c r="B106" t="inlineStr">
        <is>
          <t>avverkningsanmälan</t>
        </is>
      </c>
      <c r="C106" t="inlineStr">
        <is>
          <t>Föryngringsavverkning</t>
        </is>
      </c>
      <c r="D106" s="1" t="n">
        <v>44719</v>
      </c>
      <c r="E106" s="1" t="n">
        <v>46321</v>
      </c>
      <c r="F106" t="inlineStr">
        <is>
          <t>VÄSTRA GÖTALANDS LÄN</t>
        </is>
      </c>
      <c r="G106" t="inlineStr">
        <is>
          <t>STENUNGSUND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4578-2023</t>
        </is>
      </c>
      <c r="B107" t="inlineStr">
        <is>
          <t>avverkningsanmälan</t>
        </is>
      </c>
      <c r="C107" t="inlineStr">
        <is>
          <t>Föryngringsavverkning</t>
        </is>
      </c>
      <c r="D107" s="1" t="n">
        <v>44951</v>
      </c>
      <c r="E107" s="1" t="n">
        <v>46321</v>
      </c>
      <c r="F107" t="inlineStr">
        <is>
          <t>VÄSTRA GÖTALANDS LÄN</t>
        </is>
      </c>
      <c r="G107" t="inlineStr">
        <is>
          <t>STENUNGSUND</t>
        </is>
      </c>
      <c r="I107" t="n">
        <v>0.7</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46321</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2026-10-26T03:11:41Z</dcterms:created>
  <dcterms:modified xmlns:dcterms="http://purl.org/dc/terms/" xmlns:xsi="http://www.w3.org/2001/XMLSchema-instance" xsi:type="dcterms:W3CDTF">2026-10-26T03:11:41Z</dcterms:modified>
</cp:coreProperties>
</file>