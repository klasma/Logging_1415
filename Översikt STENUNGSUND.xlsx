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46315</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46315</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46315</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46315</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46315</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46315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46315</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8576-2023</t>
        </is>
      </c>
      <c r="B16" t="inlineStr">
        <is>
          <t>avverkningsanmälan</t>
        </is>
      </c>
      <c r="C16" t="inlineStr">
        <is>
          <t>Föryngringsavverkning</t>
        </is>
      </c>
      <c r="D16" s="1" t="n">
        <v>44977</v>
      </c>
      <c r="E16" s="1" t="n">
        <v>46315</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45000-2024</t>
        </is>
      </c>
      <c r="B17" t="inlineStr">
        <is>
          <t>avverkningsanmälan</t>
        </is>
      </c>
      <c r="C17" t="inlineStr">
        <is>
          <t>Föryngringsavverkning</t>
        </is>
      </c>
      <c r="D17" s="1" t="n">
        <v>45575</v>
      </c>
      <c r="E17" s="1" t="n">
        <v>46315</v>
      </c>
      <c r="F17" t="inlineStr">
        <is>
          <t>VÄSTRA GÖTALANDS LÄN</t>
        </is>
      </c>
      <c r="G17" t="inlineStr">
        <is>
          <t>STENUNGSUND</t>
        </is>
      </c>
      <c r="I17" t="n">
        <v>1.2</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HYPERLINK("https://klasma.github.io/Logging_1415/artfynd/A 45000-2024 artfynd.xlsx", "A 45000-2024")</f>
        <v/>
      </c>
      <c r="X17">
        <f>HYPERLINK("https://klasma.github.io/Logging_1415/kartor/A 45000-2024 karta.png", "A 45000-2024")</f>
        <v/>
      </c>
      <c r="Y17">
        <f>HYPERLINK("https://klasma.github.io/Logging_1415/kartor_geotiff/A 45000-2024 georefererad karta.tif", "A 45000-2024")</f>
        <v/>
      </c>
      <c r="AA17">
        <f>HYPERLINK("https://klasma.github.io/Logging_1415/klagomål/A 45000-2024 FSC-klagomål.docx", "A 45000-2024")</f>
        <v/>
      </c>
      <c r="AB17">
        <f>HYPERLINK("https://klasma.github.io/Logging_1415/klagomålsmail/A 45000-2024 FSC-klagomål mail.docx", "A 45000-2024")</f>
        <v/>
      </c>
      <c r="AC17">
        <f>HYPERLINK("https://klasma.github.io/Logging_1415/tillsyn/A 45000-2024 tillsynsbegäran.docx", "A 45000-2024")</f>
        <v/>
      </c>
      <c r="AD17">
        <f>HYPERLINK("https://klasma.github.io/Logging_1415/tillsynsmail/A 45000-2024 tillsynsbegäran mail.docx", "A 45000-2024")</f>
        <v/>
      </c>
    </row>
    <row r="18" ht="15" customHeight="1">
      <c r="A18" t="inlineStr">
        <is>
          <t>A 54611-2025</t>
        </is>
      </c>
      <c r="B18" t="inlineStr">
        <is>
          <t>avverkningsanmälan</t>
        </is>
      </c>
      <c r="C18" t="inlineStr">
        <is>
          <t>Föryngringsavverkning</t>
        </is>
      </c>
      <c r="D18" s="1" t="n">
        <v>45966</v>
      </c>
      <c r="E18" s="1" t="n">
        <v>46315</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25125-2026</t>
        </is>
      </c>
      <c r="B19" t="inlineStr">
        <is>
          <t>avverkningsanmälan</t>
        </is>
      </c>
      <c r="C19" t="inlineStr">
        <is>
          <t>Föryngringsavverkning</t>
        </is>
      </c>
      <c r="D19" s="1" t="n">
        <v>46175</v>
      </c>
      <c r="E19" s="1" t="n">
        <v>46315</v>
      </c>
      <c r="F19" t="inlineStr">
        <is>
          <t>VÄSTRA GÖTALANDS LÄN</t>
        </is>
      </c>
      <c r="G19" t="inlineStr">
        <is>
          <t>STENUNGSUND</t>
        </is>
      </c>
      <c r="I19" t="n">
        <v>3.3</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HYPERLINK("https://klasma.github.io/Logging_1415/artfynd/A 25125-2026 artfynd.xlsx", "A 25125-2026")</f>
        <v/>
      </c>
      <c r="X19">
        <f>HYPERLINK("https://klasma.github.io/Logging_1415/kartor/A 25125-2026 karta.png", "A 25125-2026")</f>
        <v/>
      </c>
      <c r="Y19">
        <f>HYPERLINK("https://klasma.github.io/Logging_1415/kartor_geotiff/A 25125-2026 georefererad karta.tif", "A 25125-2026")</f>
        <v/>
      </c>
      <c r="AA19">
        <f>HYPERLINK("https://klasma.github.io/Logging_1415/klagomål/A 25125-2026 FSC-klagomål.docx", "A 25125-2026")</f>
        <v/>
      </c>
      <c r="AB19">
        <f>HYPERLINK("https://klasma.github.io/Logging_1415/klagomålsmail/A 25125-2026 FSC-klagomål mail.docx", "A 25125-2026")</f>
        <v/>
      </c>
      <c r="AC19">
        <f>HYPERLINK("https://klasma.github.io/Logging_1415/tillsyn/A 25125-2026 tillsynsbegäran.docx", "A 25125-2026")</f>
        <v/>
      </c>
      <c r="AD19">
        <f>HYPERLINK("https://klasma.github.io/Logging_1415/tillsynsmail/A 25125-2026 tillsynsbegäran mail.docx", "A 25125-2026")</f>
        <v/>
      </c>
    </row>
    <row r="20" ht="15" customHeight="1">
      <c r="A20" t="inlineStr">
        <is>
          <t>A 4769-2026</t>
        </is>
      </c>
      <c r="B20" t="inlineStr">
        <is>
          <t>avverkningsanmälan</t>
        </is>
      </c>
      <c r="C20" t="inlineStr">
        <is>
          <t>Föryngringsavverkning</t>
        </is>
      </c>
      <c r="D20" s="1" t="n">
        <v>46048</v>
      </c>
      <c r="E20" s="1" t="n">
        <v>46315</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31696-2026</t>
        </is>
      </c>
      <c r="B21" t="inlineStr">
        <is>
          <t>avverkningsanmälan</t>
        </is>
      </c>
      <c r="C21" t="inlineStr">
        <is>
          <t>Föryngringsavverkning</t>
        </is>
      </c>
      <c r="D21" s="1" t="n">
        <v>46226</v>
      </c>
      <c r="E21" s="1" t="n">
        <v>46315</v>
      </c>
      <c r="F21" t="inlineStr">
        <is>
          <t>VÄSTRA GÖTALANDS LÄN</t>
        </is>
      </c>
      <c r="G21" t="inlineStr">
        <is>
          <t>STENUNGSUND</t>
        </is>
      </c>
      <c r="I21" t="n">
        <v>5.8</v>
      </c>
      <c r="J21" t="n">
        <v>0</v>
      </c>
      <c r="K21" t="n">
        <v>1</v>
      </c>
      <c r="L21" t="n">
        <v>0</v>
      </c>
      <c r="M21" t="n">
        <v>0</v>
      </c>
      <c r="N21" t="n">
        <v>0</v>
      </c>
      <c r="O21" t="n">
        <v>0</v>
      </c>
      <c r="P21" t="n">
        <v>0</v>
      </c>
      <c r="Q21" t="n">
        <v>0</v>
      </c>
      <c r="R21" t="n">
        <v>0</v>
      </c>
      <c r="S21" t="n">
        <v>1</v>
      </c>
      <c r="T21" t="n">
        <v>1</v>
      </c>
      <c r="U21" t="n">
        <v>0</v>
      </c>
      <c r="V21" s="2" t="inlineStr">
        <is>
          <t>Blanksvart trämyra</t>
        </is>
      </c>
      <c r="W21">
        <f>HYPERLINK("https://klasma.github.io/Logging_1415/artfynd/A 31696-2026 artfynd.xlsx", "A 31696-2026")</f>
        <v/>
      </c>
      <c r="X21">
        <f>HYPERLINK("https://klasma.github.io/Logging_1415/kartor/A 31696-2026 karta.png", "A 31696-2026")</f>
        <v/>
      </c>
      <c r="Y21">
        <f>HYPERLINK("https://klasma.github.io/Logging_1415/kartor_geotiff/A 31696-2026 georefererad karta.tif", "A 31696-2026")</f>
        <v/>
      </c>
      <c r="AA21">
        <f>HYPERLINK("https://klasma.github.io/Logging_1415/klagomål/A 31696-2026 FSC-klagomål.docx", "A 31696-2026")</f>
        <v/>
      </c>
      <c r="AB21">
        <f>HYPERLINK("https://klasma.github.io/Logging_1415/klagomålsmail/A 31696-2026 FSC-klagomål mail.docx", "A 31696-2026")</f>
        <v/>
      </c>
      <c r="AC21">
        <f>HYPERLINK("https://klasma.github.io/Logging_1415/tillsyn/A 31696-2026 tillsynsbegäran.docx", "A 31696-2026")</f>
        <v/>
      </c>
      <c r="AD21">
        <f>HYPERLINK("https://klasma.github.io/Logging_1415/tillsynsmail/A 31696-2026 tillsynsbegäran mail.docx", "A 31696-2026")</f>
        <v/>
      </c>
    </row>
    <row r="22" ht="15" customHeight="1">
      <c r="A22" t="inlineStr">
        <is>
          <t>A 12075-2022</t>
        </is>
      </c>
      <c r="B22" t="inlineStr">
        <is>
          <t>avverkningsanmälan</t>
        </is>
      </c>
      <c r="C22" t="inlineStr">
        <is>
          <t>Föryngringsavverkning</t>
        </is>
      </c>
      <c r="D22" s="1" t="n">
        <v>44636</v>
      </c>
      <c r="E22" s="1" t="n">
        <v>46315</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46315</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37539-2025</t>
        </is>
      </c>
      <c r="B24" t="inlineStr">
        <is>
          <t>avverkningsanmälan</t>
        </is>
      </c>
      <c r="C24" t="inlineStr">
        <is>
          <t>Föryngringsavverkning</t>
        </is>
      </c>
      <c r="D24" s="1" t="n">
        <v>45879</v>
      </c>
      <c r="E24" s="1" t="n">
        <v>46315</v>
      </c>
      <c r="F24" t="inlineStr">
        <is>
          <t>VÄSTRA GÖTALANDS LÄN</t>
        </is>
      </c>
      <c r="G24" t="inlineStr">
        <is>
          <t>STENUNGSUND</t>
        </is>
      </c>
      <c r="I24" t="n">
        <v>1.9</v>
      </c>
      <c r="J24" t="n">
        <v>0</v>
      </c>
      <c r="K24" t="n">
        <v>1</v>
      </c>
      <c r="L24" t="n">
        <v>0</v>
      </c>
      <c r="M24" t="n">
        <v>0</v>
      </c>
      <c r="N24" t="n">
        <v>0</v>
      </c>
      <c r="O24" t="n">
        <v>0</v>
      </c>
      <c r="P24" t="n">
        <v>0</v>
      </c>
      <c r="Q24" t="n">
        <v>0</v>
      </c>
      <c r="R24" t="n">
        <v>0</v>
      </c>
      <c r="S24" t="n">
        <v>1</v>
      </c>
      <c r="T24" t="n">
        <v>1</v>
      </c>
      <c r="U24" t="n">
        <v>0</v>
      </c>
      <c r="V24" s="2" t="inlineStr">
        <is>
          <t>Murgröna</t>
        </is>
      </c>
      <c r="W24">
        <f>HYPERLINK("https://klasma.github.io/Logging_1415/artfynd/A 37539-2025 artfynd.xlsx", "A 37539-2025")</f>
        <v/>
      </c>
      <c r="X24">
        <f>HYPERLINK("https://klasma.github.io/Logging_1415/kartor/A 37539-2025 karta.png", "A 37539-2025")</f>
        <v/>
      </c>
      <c r="Y24">
        <f>HYPERLINK("https://klasma.github.io/Logging_1415/kartor_geotiff/A 37539-2025 georefererad karta.tif", "A 37539-2025")</f>
        <v/>
      </c>
      <c r="AA24">
        <f>HYPERLINK("https://klasma.github.io/Logging_1415/klagomål/A 37539-2025 FSC-klagomål.docx", "A 37539-2025")</f>
        <v/>
      </c>
      <c r="AB24">
        <f>HYPERLINK("https://klasma.github.io/Logging_1415/klagomålsmail/A 37539-2025 FSC-klagomål mail.docx", "A 37539-2025")</f>
        <v/>
      </c>
      <c r="AC24">
        <f>HYPERLINK("https://klasma.github.io/Logging_1415/tillsyn/A 37539-2025 tillsynsbegäran.docx", "A 37539-2025")</f>
        <v/>
      </c>
      <c r="AD24">
        <f>HYPERLINK("https://klasma.github.io/Logging_1415/tillsynsmail/A 37539-2025 tillsynsbegäran mail.docx", "A 37539-2025")</f>
        <v/>
      </c>
    </row>
    <row r="25" ht="15" customHeight="1">
      <c r="A25" t="inlineStr">
        <is>
          <t>A 48215-2022</t>
        </is>
      </c>
      <c r="B25" t="inlineStr">
        <is>
          <t>avverkningsanmälan</t>
        </is>
      </c>
      <c r="C25" t="inlineStr">
        <is>
          <t>Föryngringsavverkning</t>
        </is>
      </c>
      <c r="D25" s="1" t="n">
        <v>44858</v>
      </c>
      <c r="E25" s="1" t="n">
        <v>46315</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46315</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46315</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46315</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46315</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46315</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10472-2024</t>
        </is>
      </c>
      <c r="B31" t="inlineStr">
        <is>
          <t>avverkningsanmälan</t>
        </is>
      </c>
      <c r="C31" t="inlineStr">
        <is>
          <t>Föryngringsavverkning</t>
        </is>
      </c>
      <c r="D31" s="1" t="n">
        <v>45366</v>
      </c>
      <c r="E31" s="1" t="n">
        <v>46315</v>
      </c>
      <c r="F31" t="inlineStr">
        <is>
          <t>VÄSTRA GÖTALANDS LÄN</t>
        </is>
      </c>
      <c r="G31" t="inlineStr">
        <is>
          <t>STENUNGSUND</t>
        </is>
      </c>
      <c r="I31" t="n">
        <v>6.3</v>
      </c>
      <c r="J31" t="n">
        <v>0</v>
      </c>
      <c r="K31" t="n">
        <v>0</v>
      </c>
      <c r="L31" t="n">
        <v>0</v>
      </c>
      <c r="M31" t="n">
        <v>0</v>
      </c>
      <c r="N31" t="n">
        <v>0</v>
      </c>
      <c r="O31" t="n">
        <v>0</v>
      </c>
      <c r="P31" t="n">
        <v>0</v>
      </c>
      <c r="Q31" t="n">
        <v>0</v>
      </c>
      <c r="R31" t="n">
        <v>0</v>
      </c>
      <c r="S31" t="n">
        <v>0</v>
      </c>
      <c r="T31" t="n">
        <v>0</v>
      </c>
      <c r="U31" t="n">
        <v>0</v>
      </c>
      <c r="V31" s="2" t="inlineStr"/>
    </row>
    <row r="32" ht="15" customHeight="1">
      <c r="A32" t="inlineStr">
        <is>
          <t>A 30175-2022</t>
        </is>
      </c>
      <c r="B32" t="inlineStr">
        <is>
          <t>avverkningsanmälan</t>
        </is>
      </c>
      <c r="C32" t="inlineStr">
        <is>
          <t>Föryngringsavverkning</t>
        </is>
      </c>
      <c r="D32" s="1" t="n">
        <v>44757</v>
      </c>
      <c r="E32" s="1" t="n">
        <v>46315</v>
      </c>
      <c r="F32" t="inlineStr">
        <is>
          <t>VÄSTRA GÖTALANDS LÄN</t>
        </is>
      </c>
      <c r="G32" t="inlineStr">
        <is>
          <t>STENUNGSUND</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46315</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46315</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4734-2023</t>
        </is>
      </c>
      <c r="B35" t="inlineStr">
        <is>
          <t>avverkningsanmälan</t>
        </is>
      </c>
      <c r="C35" t="inlineStr">
        <is>
          <t>Föryngringsavverkning</t>
        </is>
      </c>
      <c r="D35" s="1" t="n">
        <v>44957</v>
      </c>
      <c r="E35" s="1" t="n">
        <v>46315</v>
      </c>
      <c r="F35" t="inlineStr">
        <is>
          <t>VÄSTRA GÖTALANDS LÄN</t>
        </is>
      </c>
      <c r="G35" t="inlineStr">
        <is>
          <t>STENUNGSUND</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8948-2022</t>
        </is>
      </c>
      <c r="B36" t="inlineStr">
        <is>
          <t>avverkningsanmälan</t>
        </is>
      </c>
      <c r="C36" t="inlineStr">
        <is>
          <t>Avverkning för annat ändamål</t>
        </is>
      </c>
      <c r="D36" s="1" t="n">
        <v>44614</v>
      </c>
      <c r="E36" s="1" t="n">
        <v>46315</v>
      </c>
      <c r="F36" t="inlineStr">
        <is>
          <t>VÄSTRA GÖTALANDS LÄN</t>
        </is>
      </c>
      <c r="G36" t="inlineStr">
        <is>
          <t>STENUNGSUND</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3570-2023</t>
        </is>
      </c>
      <c r="B37" t="inlineStr">
        <is>
          <t>avverkningsanmälan</t>
        </is>
      </c>
      <c r="C37" t="inlineStr">
        <is>
          <t>Föryngringsavverkning</t>
        </is>
      </c>
      <c r="D37" s="1" t="n">
        <v>44950</v>
      </c>
      <c r="E37" s="1" t="n">
        <v>46315</v>
      </c>
      <c r="F37" t="inlineStr">
        <is>
          <t>VÄSTRA GÖTALANDS LÄN</t>
        </is>
      </c>
      <c r="G37" t="inlineStr">
        <is>
          <t>STENUNGSUND</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60158-2024</t>
        </is>
      </c>
      <c r="B38" t="inlineStr">
        <is>
          <t>avverkningsanmälan</t>
        </is>
      </c>
      <c r="C38" t="inlineStr">
        <is>
          <t>Föryngringsavverkning</t>
        </is>
      </c>
      <c r="D38" s="1" t="n">
        <v>45642</v>
      </c>
      <c r="E38" s="1" t="n">
        <v>46315</v>
      </c>
      <c r="F38" t="inlineStr">
        <is>
          <t>VÄSTRA GÖTALANDS LÄN</t>
        </is>
      </c>
      <c r="G38" t="inlineStr">
        <is>
          <t>STENUNGSUND</t>
        </is>
      </c>
      <c r="I38" t="n">
        <v>4.4</v>
      </c>
      <c r="J38" t="n">
        <v>0</v>
      </c>
      <c r="K38" t="n">
        <v>0</v>
      </c>
      <c r="L38" t="n">
        <v>0</v>
      </c>
      <c r="M38" t="n">
        <v>0</v>
      </c>
      <c r="N38" t="n">
        <v>0</v>
      </c>
      <c r="O38" t="n">
        <v>0</v>
      </c>
      <c r="P38" t="n">
        <v>0</v>
      </c>
      <c r="Q38" t="n">
        <v>0</v>
      </c>
      <c r="R38" t="n">
        <v>0</v>
      </c>
      <c r="S38" t="n">
        <v>0</v>
      </c>
      <c r="T38" t="n">
        <v>0</v>
      </c>
      <c r="U38" t="n">
        <v>0</v>
      </c>
      <c r="V38" s="2" t="inlineStr"/>
    </row>
    <row r="39" ht="15" customHeight="1">
      <c r="A39" t="inlineStr">
        <is>
          <t>A 6913-2024</t>
        </is>
      </c>
      <c r="B39" t="inlineStr">
        <is>
          <t>avverkningsanmälan</t>
        </is>
      </c>
      <c r="C39" t="inlineStr">
        <is>
          <t>Föryngringsavverkning</t>
        </is>
      </c>
      <c r="D39" s="1" t="n">
        <v>45343</v>
      </c>
      <c r="E39" s="1" t="n">
        <v>46315</v>
      </c>
      <c r="F39" t="inlineStr">
        <is>
          <t>VÄSTRA GÖTALANDS LÄN</t>
        </is>
      </c>
      <c r="G39" t="inlineStr">
        <is>
          <t>STENUNGSUND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19059-2023</t>
        </is>
      </c>
      <c r="B40" t="inlineStr">
        <is>
          <t>avverkningsanmälan</t>
        </is>
      </c>
      <c r="C40" t="inlineStr">
        <is>
          <t>Föryngringsavverkning</t>
        </is>
      </c>
      <c r="D40" s="1" t="n">
        <v>45048</v>
      </c>
      <c r="E40" s="1" t="n">
        <v>46315</v>
      </c>
      <c r="F40" t="inlineStr">
        <is>
          <t>VÄSTRA GÖTALANDS LÄN</t>
        </is>
      </c>
      <c r="G40" t="inlineStr">
        <is>
          <t>STENUNGSUND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46315</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46315</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46315</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23762-2024</t>
        </is>
      </c>
      <c r="B44" t="inlineStr">
        <is>
          <t>avverkningsanmälan</t>
        </is>
      </c>
      <c r="C44" t="inlineStr">
        <is>
          <t>Föryngringsavverkning</t>
        </is>
      </c>
      <c r="D44" s="1" t="n">
        <v>45455</v>
      </c>
      <c r="E44" s="1" t="n">
        <v>46315</v>
      </c>
      <c r="F44" t="inlineStr">
        <is>
          <t>VÄSTRA GÖTALANDS LÄN</t>
        </is>
      </c>
      <c r="G44" t="inlineStr">
        <is>
          <t>STENUNGSUND</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15726-2025</t>
        </is>
      </c>
      <c r="B45" t="inlineStr">
        <is>
          <t>avverkningsanmälan</t>
        </is>
      </c>
      <c r="C45" t="inlineStr">
        <is>
          <t>Föryngringsavverkning</t>
        </is>
      </c>
      <c r="D45" s="1" t="n">
        <v>45748</v>
      </c>
      <c r="E45" s="1" t="n">
        <v>46315</v>
      </c>
      <c r="F45" t="inlineStr">
        <is>
          <t>VÄSTRA GÖTALANDS LÄN</t>
        </is>
      </c>
      <c r="G45" t="inlineStr">
        <is>
          <t>STENUNGSUND</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46315</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33010-2022</t>
        </is>
      </c>
      <c r="B47" t="inlineStr">
        <is>
          <t>avverkningsanmälan</t>
        </is>
      </c>
      <c r="C47" t="inlineStr">
        <is>
          <t>Föryngringsavverkning</t>
        </is>
      </c>
      <c r="D47" s="1" t="n">
        <v>44785</v>
      </c>
      <c r="E47" s="1" t="n">
        <v>46315</v>
      </c>
      <c r="F47" t="inlineStr">
        <is>
          <t>VÄSTRA GÖTALANDS LÄN</t>
        </is>
      </c>
      <c r="G47" t="inlineStr">
        <is>
          <t>STENUNGSUND</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19302-2025</t>
        </is>
      </c>
      <c r="B48" t="inlineStr">
        <is>
          <t>avverkningsanmälan</t>
        </is>
      </c>
      <c r="C48" t="inlineStr">
        <is>
          <t>Föryngringsavverkning</t>
        </is>
      </c>
      <c r="D48" s="1" t="n">
        <v>45769</v>
      </c>
      <c r="E48" s="1" t="n">
        <v>46315</v>
      </c>
      <c r="F48" t="inlineStr">
        <is>
          <t>VÄSTRA GÖTALANDS LÄN</t>
        </is>
      </c>
      <c r="G48" t="inlineStr">
        <is>
          <t>STENUNGSUND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46315</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57766-2024</t>
        </is>
      </c>
      <c r="B50" t="inlineStr">
        <is>
          <t>avverkningsanmälan</t>
        </is>
      </c>
      <c r="C50" t="inlineStr">
        <is>
          <t>Föryngringsavverkning</t>
        </is>
      </c>
      <c r="D50" s="1" t="n">
        <v>45630</v>
      </c>
      <c r="E50" s="1" t="n">
        <v>46315</v>
      </c>
      <c r="F50" t="inlineStr">
        <is>
          <t>VÄSTRA GÖTALANDS LÄN</t>
        </is>
      </c>
      <c r="G50" t="inlineStr">
        <is>
          <t>STENUNGSUND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57767-2024</t>
        </is>
      </c>
      <c r="B51" t="inlineStr">
        <is>
          <t>avverkningsanmälan</t>
        </is>
      </c>
      <c r="C51" t="inlineStr">
        <is>
          <t>Föryngringsavverkning</t>
        </is>
      </c>
      <c r="D51" s="1" t="n">
        <v>45630</v>
      </c>
      <c r="E51" s="1" t="n">
        <v>46315</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57769-2024</t>
        </is>
      </c>
      <c r="B52" t="inlineStr">
        <is>
          <t>avverkningsanmälan</t>
        </is>
      </c>
      <c r="C52" t="inlineStr">
        <is>
          <t>Föryngringsavverkning</t>
        </is>
      </c>
      <c r="D52" s="1" t="n">
        <v>45630</v>
      </c>
      <c r="E52" s="1" t="n">
        <v>46315</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46315</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46315</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50205-2025</t>
        </is>
      </c>
      <c r="B55" t="inlineStr">
        <is>
          <t>avverkningsanmälan</t>
        </is>
      </c>
      <c r="C55" t="inlineStr">
        <is>
          <t>Föryngringsavverkning</t>
        </is>
      </c>
      <c r="D55" s="1" t="n">
        <v>45943</v>
      </c>
      <c r="E55" s="1" t="n">
        <v>46315</v>
      </c>
      <c r="F55" t="inlineStr">
        <is>
          <t>VÄSTRA GÖTALANDS LÄN</t>
        </is>
      </c>
      <c r="G55" t="inlineStr">
        <is>
          <t>STENUNGSUND</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50543-2025</t>
        </is>
      </c>
      <c r="B56" t="inlineStr">
        <is>
          <t>avverkningsanmälan</t>
        </is>
      </c>
      <c r="C56" t="inlineStr">
        <is>
          <t>Föryngringsavverkning</t>
        </is>
      </c>
      <c r="D56" s="1" t="n">
        <v>45945</v>
      </c>
      <c r="E56" s="1" t="n">
        <v>46315</v>
      </c>
      <c r="F56" t="inlineStr">
        <is>
          <t>VÄSTRA GÖTALANDS LÄN</t>
        </is>
      </c>
      <c r="G56" t="inlineStr">
        <is>
          <t>STENUNGSUND</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50538-2025</t>
        </is>
      </c>
      <c r="B57" t="inlineStr">
        <is>
          <t>avverkningsanmälan</t>
        </is>
      </c>
      <c r="C57" t="inlineStr">
        <is>
          <t>Föryngringsavverkning</t>
        </is>
      </c>
      <c r="D57" s="1" t="n">
        <v>45945</v>
      </c>
      <c r="E57" s="1" t="n">
        <v>46315</v>
      </c>
      <c r="F57" t="inlineStr">
        <is>
          <t>VÄSTRA GÖTALANDS LÄN</t>
        </is>
      </c>
      <c r="G57" t="inlineStr">
        <is>
          <t>STENUNGSUND</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52012-2025</t>
        </is>
      </c>
      <c r="B58" t="inlineStr">
        <is>
          <t>avverkningsanmälan</t>
        </is>
      </c>
      <c r="C58" t="inlineStr">
        <is>
          <t>Föryngringsavverkning</t>
        </is>
      </c>
      <c r="D58" s="1" t="n">
        <v>45952</v>
      </c>
      <c r="E58" s="1" t="n">
        <v>46315</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54247-2025</t>
        </is>
      </c>
      <c r="B59" t="inlineStr">
        <is>
          <t>avverkningsanmälan</t>
        </is>
      </c>
      <c r="C59" t="inlineStr">
        <is>
          <t>Föryngringsavverkning</t>
        </is>
      </c>
      <c r="D59" s="1" t="n">
        <v>45964</v>
      </c>
      <c r="E59" s="1" t="n">
        <v>46315</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64992-2023</t>
        </is>
      </c>
      <c r="B60" t="inlineStr">
        <is>
          <t>avverkningsanmälan</t>
        </is>
      </c>
      <c r="C60" t="inlineStr">
        <is>
          <t>Föryngringsavverkning</t>
        </is>
      </c>
      <c r="D60" s="1" t="n">
        <v>45286</v>
      </c>
      <c r="E60" s="1" t="n">
        <v>46315</v>
      </c>
      <c r="F60" t="inlineStr">
        <is>
          <t>VÄSTRA GÖTALANDS LÄN</t>
        </is>
      </c>
      <c r="G60" t="inlineStr">
        <is>
          <t>STENUNGSUND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34555-2024</t>
        </is>
      </c>
      <c r="B61" t="inlineStr">
        <is>
          <t>avverkningsanmälan</t>
        </is>
      </c>
      <c r="C61" t="inlineStr">
        <is>
          <t>Föryngringsavverkning</t>
        </is>
      </c>
      <c r="D61" s="1" t="n">
        <v>45525</v>
      </c>
      <c r="E61" s="1" t="n">
        <v>46315</v>
      </c>
      <c r="F61" t="inlineStr">
        <is>
          <t>VÄSTRA GÖTALANDS LÄN</t>
        </is>
      </c>
      <c r="G61" t="inlineStr">
        <is>
          <t>STENUNGSUND</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36018-2025</t>
        </is>
      </c>
      <c r="B62" t="inlineStr">
        <is>
          <t>avverkningsanmälan</t>
        </is>
      </c>
      <c r="C62" t="inlineStr">
        <is>
          <t>Föryngringsavverkning</t>
        </is>
      </c>
      <c r="D62" s="1" t="n">
        <v>45863</v>
      </c>
      <c r="E62" s="1" t="n">
        <v>46315</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23115-2026</t>
        </is>
      </c>
      <c r="B63" t="inlineStr">
        <is>
          <t>avverkningsanmälan</t>
        </is>
      </c>
      <c r="C63" t="inlineStr">
        <is>
          <t>Föryngringsavverkning</t>
        </is>
      </c>
      <c r="D63" s="1" t="n">
        <v>46161</v>
      </c>
      <c r="E63" s="1" t="n">
        <v>46315</v>
      </c>
      <c r="F63" t="inlineStr">
        <is>
          <t>VÄSTRA GÖTALANDS LÄN</t>
        </is>
      </c>
      <c r="G63" t="inlineStr">
        <is>
          <t>STENUNGSUND</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46315</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60687-2025</t>
        </is>
      </c>
      <c r="B65" t="inlineStr">
        <is>
          <t>avverkningsanmälan</t>
        </is>
      </c>
      <c r="C65" t="inlineStr">
        <is>
          <t>Föryngringsavverkning</t>
        </is>
      </c>
      <c r="D65" s="1" t="n">
        <v>45996</v>
      </c>
      <c r="E65" s="1" t="n">
        <v>46315</v>
      </c>
      <c r="F65" t="inlineStr">
        <is>
          <t>VÄSTRA GÖTALANDS LÄN</t>
        </is>
      </c>
      <c r="G65" t="inlineStr">
        <is>
          <t>STENUNGSUND</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72944-2021</t>
        </is>
      </c>
      <c r="B66" t="inlineStr">
        <is>
          <t>avverkningsanmälan</t>
        </is>
      </c>
      <c r="C66" t="inlineStr">
        <is>
          <t>Föryngringsavverkning</t>
        </is>
      </c>
      <c r="D66" s="1" t="n">
        <v>44547</v>
      </c>
      <c r="E66" s="1" t="n">
        <v>46315</v>
      </c>
      <c r="F66" t="inlineStr">
        <is>
          <t>VÄSTRA GÖTALANDS LÄN</t>
        </is>
      </c>
      <c r="G66" t="inlineStr">
        <is>
          <t>STENUNGSUND</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15535-2024</t>
        </is>
      </c>
      <c r="B67" t="inlineStr">
        <is>
          <t>avverkningsanmälan</t>
        </is>
      </c>
      <c r="C67" t="inlineStr">
        <is>
          <t>Föryngringsavverkning</t>
        </is>
      </c>
      <c r="D67" s="1" t="n">
        <v>45401</v>
      </c>
      <c r="E67" s="1" t="n">
        <v>46315</v>
      </c>
      <c r="F67" t="inlineStr">
        <is>
          <t>VÄSTRA GÖTALANDS LÄN</t>
        </is>
      </c>
      <c r="G67" t="inlineStr">
        <is>
          <t>STENUNGSUND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19709-2026</t>
        </is>
      </c>
      <c r="B68" t="inlineStr">
        <is>
          <t>avverkningsanmälan</t>
        </is>
      </c>
      <c r="C68" t="inlineStr">
        <is>
          <t>Föryngringsavverkning</t>
        </is>
      </c>
      <c r="D68" s="1" t="n">
        <v>46134</v>
      </c>
      <c r="E68" s="1" t="n">
        <v>46315</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3243-2022</t>
        </is>
      </c>
      <c r="B69" t="inlineStr">
        <is>
          <t>avverkningsanmälan</t>
        </is>
      </c>
      <c r="C69" t="inlineStr">
        <is>
          <t>Föryngringsavverkning</t>
        </is>
      </c>
      <c r="D69" s="1" t="n">
        <v>44582</v>
      </c>
      <c r="E69" s="1" t="n">
        <v>46315</v>
      </c>
      <c r="F69" t="inlineStr">
        <is>
          <t>VÄSTRA GÖTALANDS LÄN</t>
        </is>
      </c>
      <c r="G69" t="inlineStr">
        <is>
          <t>STENUNGSUND</t>
        </is>
      </c>
      <c r="I69" t="n">
        <v>7.6</v>
      </c>
      <c r="J69" t="n">
        <v>0</v>
      </c>
      <c r="K69" t="n">
        <v>0</v>
      </c>
      <c r="L69" t="n">
        <v>0</v>
      </c>
      <c r="M69" t="n">
        <v>0</v>
      </c>
      <c r="N69" t="n">
        <v>0</v>
      </c>
      <c r="O69" t="n">
        <v>0</v>
      </c>
      <c r="P69" t="n">
        <v>0</v>
      </c>
      <c r="Q69" t="n">
        <v>0</v>
      </c>
      <c r="R69" t="n">
        <v>0</v>
      </c>
      <c r="S69" t="n">
        <v>0</v>
      </c>
      <c r="T69" t="n">
        <v>0</v>
      </c>
      <c r="U69" t="n">
        <v>0</v>
      </c>
      <c r="V69" s="2" t="inlineStr"/>
    </row>
    <row r="70" ht="15" customHeight="1">
      <c r="A70" t="inlineStr">
        <is>
          <t>A 2472-2026</t>
        </is>
      </c>
      <c r="B70" t="inlineStr">
        <is>
          <t>avverkningsanmälan</t>
        </is>
      </c>
      <c r="C70" t="inlineStr">
        <is>
          <t>Föryngringsavverkning</t>
        </is>
      </c>
      <c r="D70" s="1" t="n">
        <v>46037</v>
      </c>
      <c r="E70" s="1" t="n">
        <v>46315</v>
      </c>
      <c r="F70" t="inlineStr">
        <is>
          <t>VÄSTRA GÖTALANDS LÄN</t>
        </is>
      </c>
      <c r="G70" t="inlineStr">
        <is>
          <t>STENUNGSUND</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2481-2026</t>
        </is>
      </c>
      <c r="B71" t="inlineStr">
        <is>
          <t>avverkningsanmälan</t>
        </is>
      </c>
      <c r="C71" t="inlineStr">
        <is>
          <t>Föryngringsavverkning</t>
        </is>
      </c>
      <c r="D71" s="1" t="n">
        <v>46037</v>
      </c>
      <c r="E71" s="1" t="n">
        <v>46315</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33950-2023</t>
        </is>
      </c>
      <c r="B72" t="inlineStr">
        <is>
          <t>avverkningsanmälan</t>
        </is>
      </c>
      <c r="C72" t="inlineStr">
        <is>
          <t>Föryngringsavverkning</t>
        </is>
      </c>
      <c r="D72" s="1" t="n">
        <v>45134</v>
      </c>
      <c r="E72" s="1" t="n">
        <v>46315</v>
      </c>
      <c r="F72" t="inlineStr">
        <is>
          <t>VÄSTRA GÖTALANDS LÄN</t>
        </is>
      </c>
      <c r="G72" t="inlineStr">
        <is>
          <t>STENUNGSUND</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11362-2025</t>
        </is>
      </c>
      <c r="B73" t="inlineStr">
        <is>
          <t>avverkningsanmälan</t>
        </is>
      </c>
      <c r="C73" t="inlineStr">
        <is>
          <t>Föryngringsavverkning</t>
        </is>
      </c>
      <c r="D73" s="1" t="n">
        <v>45726</v>
      </c>
      <c r="E73" s="1" t="n">
        <v>46315</v>
      </c>
      <c r="F73" t="inlineStr">
        <is>
          <t>VÄSTRA GÖTALANDS LÄN</t>
        </is>
      </c>
      <c r="G73" t="inlineStr">
        <is>
          <t>STENUNGSUND</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40950-2023</t>
        </is>
      </c>
      <c r="B74" t="inlineStr">
        <is>
          <t>avverkningsanmälan</t>
        </is>
      </c>
      <c r="C74" t="inlineStr">
        <is>
          <t>Föryngringsavverkning</t>
        </is>
      </c>
      <c r="D74" s="1" t="n">
        <v>45173</v>
      </c>
      <c r="E74" s="1" t="n">
        <v>46315</v>
      </c>
      <c r="F74" t="inlineStr">
        <is>
          <t>VÄSTRA GÖTALANDS LÄN</t>
        </is>
      </c>
      <c r="G74" t="inlineStr">
        <is>
          <t>STENUNGSUND</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51661-2023</t>
        </is>
      </c>
      <c r="B75" t="inlineStr">
        <is>
          <t>avverkningsanmälan</t>
        </is>
      </c>
      <c r="C75" t="inlineStr">
        <is>
          <t>Föryngringsavverkning</t>
        </is>
      </c>
      <c r="D75" s="1" t="n">
        <v>45215</v>
      </c>
      <c r="E75" s="1" t="n">
        <v>46315</v>
      </c>
      <c r="F75" t="inlineStr">
        <is>
          <t>VÄSTRA GÖTALANDS LÄN</t>
        </is>
      </c>
      <c r="G75" t="inlineStr">
        <is>
          <t>STENUNGSUND</t>
        </is>
      </c>
      <c r="I75" t="n">
        <v>9.1</v>
      </c>
      <c r="J75" t="n">
        <v>0</v>
      </c>
      <c r="K75" t="n">
        <v>0</v>
      </c>
      <c r="L75" t="n">
        <v>0</v>
      </c>
      <c r="M75" t="n">
        <v>0</v>
      </c>
      <c r="N75" t="n">
        <v>0</v>
      </c>
      <c r="O75" t="n">
        <v>0</v>
      </c>
      <c r="P75" t="n">
        <v>0</v>
      </c>
      <c r="Q75" t="n">
        <v>0</v>
      </c>
      <c r="R75" t="n">
        <v>0</v>
      </c>
      <c r="S75" t="n">
        <v>0</v>
      </c>
      <c r="T75" t="n">
        <v>0</v>
      </c>
      <c r="U75" t="n">
        <v>0</v>
      </c>
      <c r="V75" s="2" t="inlineStr"/>
    </row>
    <row r="76" ht="15" customHeight="1">
      <c r="A76" t="inlineStr">
        <is>
          <t>A 26654-2026</t>
        </is>
      </c>
      <c r="B76" t="inlineStr">
        <is>
          <t>avverkningsanmälan</t>
        </is>
      </c>
      <c r="C76" t="inlineStr">
        <is>
          <t>Föryngringsavverkning</t>
        </is>
      </c>
      <c r="D76" s="1" t="n">
        <v>46184</v>
      </c>
      <c r="E76" s="1" t="n">
        <v>46315</v>
      </c>
      <c r="F76" t="inlineStr">
        <is>
          <t>VÄSTRA GÖTALANDS LÄN</t>
        </is>
      </c>
      <c r="G76" t="inlineStr">
        <is>
          <t>STENUNGSUND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32960-2023</t>
        </is>
      </c>
      <c r="B77" t="inlineStr">
        <is>
          <t>avverkningsanmälan</t>
        </is>
      </c>
      <c r="C77" t="inlineStr">
        <is>
          <t>Avverkning för annat ändamål</t>
        </is>
      </c>
      <c r="D77" s="1" t="n">
        <v>45125</v>
      </c>
      <c r="E77" s="1" t="n">
        <v>46315</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23070-2022</t>
        </is>
      </c>
      <c r="B78" t="inlineStr">
        <is>
          <t>avverkningsanmälan</t>
        </is>
      </c>
      <c r="C78" t="inlineStr">
        <is>
          <t>Föryngringsavverkning</t>
        </is>
      </c>
      <c r="D78" s="1" t="n">
        <v>44719</v>
      </c>
      <c r="E78" s="1" t="n">
        <v>46315</v>
      </c>
      <c r="F78" t="inlineStr">
        <is>
          <t>VÄSTRA GÖTALANDS LÄN</t>
        </is>
      </c>
      <c r="G78" t="inlineStr">
        <is>
          <t>STENUNGSUND</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48895-2023</t>
        </is>
      </c>
      <c r="B79" t="inlineStr">
        <is>
          <t>avverkningsanmälan</t>
        </is>
      </c>
      <c r="C79" t="inlineStr">
        <is>
          <t>Föryngringsavverkning</t>
        </is>
      </c>
      <c r="D79" s="1" t="n">
        <v>45209</v>
      </c>
      <c r="E79" s="1" t="n">
        <v>46315</v>
      </c>
      <c r="F79" t="inlineStr">
        <is>
          <t>VÄSTRA GÖTALANDS LÄN</t>
        </is>
      </c>
      <c r="G79" t="inlineStr">
        <is>
          <t>STENUNGSUND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28665-2026</t>
        </is>
      </c>
      <c r="B80" t="inlineStr">
        <is>
          <t>avverkningsanmälan</t>
        </is>
      </c>
      <c r="C80" t="inlineStr">
        <is>
          <t>Föryngringsavverkning</t>
        </is>
      </c>
      <c r="D80" s="1" t="n">
        <v>46191</v>
      </c>
      <c r="E80" s="1" t="n">
        <v>46315</v>
      </c>
      <c r="F80" t="inlineStr">
        <is>
          <t>VÄSTRA GÖTALANDS LÄN</t>
        </is>
      </c>
      <c r="G80" t="inlineStr">
        <is>
          <t>STENUNGSUND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4578-2023</t>
        </is>
      </c>
      <c r="B81" t="inlineStr">
        <is>
          <t>avverkningsanmälan</t>
        </is>
      </c>
      <c r="C81" t="inlineStr">
        <is>
          <t>Föryngringsavverkning</t>
        </is>
      </c>
      <c r="D81" s="1" t="n">
        <v>44951</v>
      </c>
      <c r="E81" s="1" t="n">
        <v>46315</v>
      </c>
      <c r="F81" t="inlineStr">
        <is>
          <t>VÄSTRA GÖTALANDS LÄN</t>
        </is>
      </c>
      <c r="G81" t="inlineStr">
        <is>
          <t>STENUNGSUND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46315</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46315</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30170-2026</t>
        </is>
      </c>
      <c r="B84" t="inlineStr">
        <is>
          <t>avverkningsanmälan</t>
        </is>
      </c>
      <c r="C84" t="inlineStr">
        <is>
          <t>Föryngringsavverkning</t>
        </is>
      </c>
      <c r="D84" s="1" t="n">
        <v>46206</v>
      </c>
      <c r="E84" s="1" t="n">
        <v>46315</v>
      </c>
      <c r="F84" t="inlineStr">
        <is>
          <t>VÄSTRA GÖTALANDS LÄN</t>
        </is>
      </c>
      <c r="G84" t="inlineStr">
        <is>
          <t>STENUNGSUND</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34253-2023</t>
        </is>
      </c>
      <c r="B85" t="inlineStr">
        <is>
          <t>avverkningsanmälan</t>
        </is>
      </c>
      <c r="C85" t="inlineStr">
        <is>
          <t>Föryngringsavverkning</t>
        </is>
      </c>
      <c r="D85" s="1" t="n">
        <v>45138</v>
      </c>
      <c r="E85" s="1" t="n">
        <v>46315</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51367-2024</t>
        </is>
      </c>
      <c r="B86" t="inlineStr">
        <is>
          <t>avverkningsanmälan</t>
        </is>
      </c>
      <c r="C86" t="inlineStr">
        <is>
          <t>Föryngringsavverkning</t>
        </is>
      </c>
      <c r="D86" s="1" t="n">
        <v>45604</v>
      </c>
      <c r="E86" s="1" t="n">
        <v>46315</v>
      </c>
      <c r="F86" t="inlineStr">
        <is>
          <t>VÄSTRA GÖTALANDS LÄN</t>
        </is>
      </c>
      <c r="G86" t="inlineStr">
        <is>
          <t>STENUNGSUND</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32997-2025</t>
        </is>
      </c>
      <c r="B87" t="inlineStr">
        <is>
          <t>avverkningsanmälan</t>
        </is>
      </c>
      <c r="C87" t="inlineStr">
        <is>
          <t>Föryngringsavverkning</t>
        </is>
      </c>
      <c r="D87" s="1" t="n">
        <v>45840</v>
      </c>
      <c r="E87" s="1" t="n">
        <v>46315</v>
      </c>
      <c r="F87" t="inlineStr">
        <is>
          <t>VÄSTRA GÖTALANDS LÄN</t>
        </is>
      </c>
      <c r="G87" t="inlineStr">
        <is>
          <t>STENUNGSUND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46315</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3569-2023</t>
        </is>
      </c>
      <c r="B89" t="inlineStr">
        <is>
          <t>avverkningsanmälan</t>
        </is>
      </c>
      <c r="C89" t="inlineStr">
        <is>
          <t>Föryngringsavverkning</t>
        </is>
      </c>
      <c r="D89" s="1" t="n">
        <v>44950</v>
      </c>
      <c r="E89" s="1" t="n">
        <v>46315</v>
      </c>
      <c r="F89" t="inlineStr">
        <is>
          <t>VÄSTRA GÖTALANDS LÄN</t>
        </is>
      </c>
      <c r="G89" t="inlineStr">
        <is>
          <t>STENUNGSUND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8684-2024</t>
        </is>
      </c>
      <c r="B90" t="inlineStr">
        <is>
          <t>avverkningsanmälan</t>
        </is>
      </c>
      <c r="C90" t="inlineStr">
        <is>
          <t>Föryngringsavverkning</t>
        </is>
      </c>
      <c r="D90" s="1" t="n">
        <v>45356</v>
      </c>
      <c r="E90" s="1" t="n">
        <v>46315</v>
      </c>
      <c r="F90" t="inlineStr">
        <is>
          <t>VÄSTRA GÖTALANDS LÄN</t>
        </is>
      </c>
      <c r="G90" t="inlineStr">
        <is>
          <t>STENUNGSUND</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8544-2023</t>
        </is>
      </c>
      <c r="B91" t="inlineStr">
        <is>
          <t>avverkningsanmälan</t>
        </is>
      </c>
      <c r="C91" t="inlineStr">
        <is>
          <t>Föryngringsavverkning</t>
        </is>
      </c>
      <c r="D91" s="1" t="n">
        <v>44977</v>
      </c>
      <c r="E91" s="1" t="n">
        <v>46315</v>
      </c>
      <c r="F91" t="inlineStr">
        <is>
          <t>VÄSTRA GÖTALANDS LÄN</t>
        </is>
      </c>
      <c r="G91" t="inlineStr">
        <is>
          <t>STENUNGSUND</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38641-2026</t>
        </is>
      </c>
      <c r="B92" t="inlineStr">
        <is>
          <t>avverkningsanmälan</t>
        </is>
      </c>
      <c r="C92" t="inlineStr">
        <is>
          <t>Föryngringsavverkning</t>
        </is>
      </c>
      <c r="D92" s="1" t="n">
        <v>46283</v>
      </c>
      <c r="E92" s="1" t="n">
        <v>46315</v>
      </c>
      <c r="F92" t="inlineStr">
        <is>
          <t>VÄSTRA GÖTALANDS LÄN</t>
        </is>
      </c>
      <c r="G92" t="inlineStr">
        <is>
          <t>STENUNGSUND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39682-2026</t>
        </is>
      </c>
      <c r="B93" t="inlineStr">
        <is>
          <t>avverkningsanmälan</t>
        </is>
      </c>
      <c r="C93" t="inlineStr">
        <is>
          <t>Föryngringsavverkning</t>
        </is>
      </c>
      <c r="D93" s="1" t="n">
        <v>46289</v>
      </c>
      <c r="E93" s="1" t="n">
        <v>46315</v>
      </c>
      <c r="F93" t="inlineStr">
        <is>
          <t>VÄSTRA GÖTALANDS LÄN</t>
        </is>
      </c>
      <c r="G93" t="inlineStr">
        <is>
          <t>STENUNGSUND</t>
        </is>
      </c>
      <c r="I93" t="n">
        <v>8.699999999999999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8567-2023</t>
        </is>
      </c>
      <c r="B94" t="inlineStr">
        <is>
          <t>avverkningsanmälan</t>
        </is>
      </c>
      <c r="C94" t="inlineStr">
        <is>
          <t>Föryngringsavverkning</t>
        </is>
      </c>
      <c r="D94" s="1" t="n">
        <v>44977</v>
      </c>
      <c r="E94" s="1" t="n">
        <v>46315</v>
      </c>
      <c r="F94" t="inlineStr">
        <is>
          <t>VÄSTRA GÖTALANDS LÄN</t>
        </is>
      </c>
      <c r="G94" t="inlineStr">
        <is>
          <t>STENUNGSUND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809-2025</t>
        </is>
      </c>
      <c r="B95" t="inlineStr">
        <is>
          <t>avverkningsanmälan</t>
        </is>
      </c>
      <c r="C95" t="inlineStr">
        <is>
          <t>Föryngringsavverkning</t>
        </is>
      </c>
      <c r="D95" s="1" t="n">
        <v>45665</v>
      </c>
      <c r="E95" s="1" t="n">
        <v>46315</v>
      </c>
      <c r="F95" t="inlineStr">
        <is>
          <t>VÄSTRA GÖTALANDS LÄN</t>
        </is>
      </c>
      <c r="G95" t="inlineStr">
        <is>
          <t>STENUNGSUND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32931-2026</t>
        </is>
      </c>
      <c r="B96" t="inlineStr">
        <is>
          <t>avverkningsanmälan</t>
        </is>
      </c>
      <c r="C96" t="inlineStr">
        <is>
          <t>Föryngringsavverkning</t>
        </is>
      </c>
      <c r="D96" s="1" t="n">
        <v>46244</v>
      </c>
      <c r="E96" s="1" t="n">
        <v>46315</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24211-2025</t>
        </is>
      </c>
      <c r="B97" t="inlineStr">
        <is>
          <t>avverkningsanmälan</t>
        </is>
      </c>
      <c r="C97" t="inlineStr">
        <is>
          <t>Föryngringsavverkning</t>
        </is>
      </c>
      <c r="D97" s="1" t="n">
        <v>45797</v>
      </c>
      <c r="E97" s="1" t="n">
        <v>46315</v>
      </c>
      <c r="F97" t="inlineStr">
        <is>
          <t>VÄSTRA GÖTALANDS LÄN</t>
        </is>
      </c>
      <c r="G97" t="inlineStr">
        <is>
          <t>STENUNGSUND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41848-2026</t>
        </is>
      </c>
      <c r="B98" t="inlineStr">
        <is>
          <t>avverkningsanmälan</t>
        </is>
      </c>
      <c r="C98" t="inlineStr">
        <is>
          <t>Föryngringsavverkning</t>
        </is>
      </c>
      <c r="D98" s="1" t="n">
        <v>46303</v>
      </c>
      <c r="E98" s="1" t="n">
        <v>46315</v>
      </c>
      <c r="F98" t="inlineStr">
        <is>
          <t>VÄSTRA GÖTALANDS LÄN</t>
        </is>
      </c>
      <c r="G98" t="inlineStr">
        <is>
          <t>STENUNGSUND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60832-2024</t>
        </is>
      </c>
      <c r="B99" t="inlineStr">
        <is>
          <t>avverkningsanmälan</t>
        </is>
      </c>
      <c r="C99" t="inlineStr">
        <is>
          <t>Föryngringsavverkning</t>
        </is>
      </c>
      <c r="D99" s="1" t="n">
        <v>45644</v>
      </c>
      <c r="E99" s="1" t="n">
        <v>46315</v>
      </c>
      <c r="F99" t="inlineStr">
        <is>
          <t>VÄSTRA GÖTALANDS LÄN</t>
        </is>
      </c>
      <c r="G99" t="inlineStr">
        <is>
          <t>STENUNGSUND</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48365-2024</t>
        </is>
      </c>
      <c r="B100" t="inlineStr">
        <is>
          <t>avverkningsanmälan</t>
        </is>
      </c>
      <c r="C100" t="inlineStr">
        <is>
          <t>Föryngringsavverkning</t>
        </is>
      </c>
      <c r="D100" s="1" t="n">
        <v>45590</v>
      </c>
      <c r="E100" s="1" t="n">
        <v>46315</v>
      </c>
      <c r="F100" t="inlineStr">
        <is>
          <t>VÄSTRA GÖTALANDS LÄN</t>
        </is>
      </c>
      <c r="G100" t="inlineStr">
        <is>
          <t>STENUNGSUND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9893-2025</t>
        </is>
      </c>
      <c r="B101" t="inlineStr">
        <is>
          <t>avverkningsanmälan</t>
        </is>
      </c>
      <c r="C101" t="inlineStr">
        <is>
          <t>Föryngringsavverkning</t>
        </is>
      </c>
      <c r="D101" s="1" t="n">
        <v>45716</v>
      </c>
      <c r="E101" s="1" t="n">
        <v>46315</v>
      </c>
      <c r="F101" t="inlineStr">
        <is>
          <t>VÄSTRA GÖTALANDS LÄN</t>
        </is>
      </c>
      <c r="G101" t="inlineStr">
        <is>
          <t>STENUNGSUND</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2412-2024</t>
        </is>
      </c>
      <c r="B102" t="inlineStr">
        <is>
          <t>avverkningsanmälan</t>
        </is>
      </c>
      <c r="C102" t="inlineStr">
        <is>
          <t>Föryngringsavverkning</t>
        </is>
      </c>
      <c r="D102" s="1" t="n">
        <v>45310</v>
      </c>
      <c r="E102" s="1" t="n">
        <v>46315</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42592-2026</t>
        </is>
      </c>
      <c r="B103" t="inlineStr">
        <is>
          <t>avverkningsanmälan</t>
        </is>
      </c>
      <c r="C103" t="inlineStr">
        <is>
          <t>Föryngringsavverkning</t>
        </is>
      </c>
      <c r="D103" s="1" t="n">
        <v>46308</v>
      </c>
      <c r="E103" s="1" t="n">
        <v>46315</v>
      </c>
      <c r="F103" t="inlineStr">
        <is>
          <t>VÄSTRA GÖTALANDS LÄN</t>
        </is>
      </c>
      <c r="G103" t="inlineStr">
        <is>
          <t>STENUNGSUND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35172-2025</t>
        </is>
      </c>
      <c r="B104" t="inlineStr">
        <is>
          <t>avverkningsanmälan</t>
        </is>
      </c>
      <c r="C104" t="inlineStr">
        <is>
          <t>Föryngringsavverkning</t>
        </is>
      </c>
      <c r="D104" s="1" t="n">
        <v>45852</v>
      </c>
      <c r="E104" s="1" t="n">
        <v>46315</v>
      </c>
      <c r="F104" t="inlineStr">
        <is>
          <t>VÄSTRA GÖTALANDS LÄN</t>
        </is>
      </c>
      <c r="G104" t="inlineStr">
        <is>
          <t>STENUNGSUND</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9282-2025</t>
        </is>
      </c>
      <c r="B105" t="inlineStr">
        <is>
          <t>avverkningsanmälan</t>
        </is>
      </c>
      <c r="C105" t="inlineStr">
        <is>
          <t>Föryngringsavverkning</t>
        </is>
      </c>
      <c r="D105" s="1" t="n">
        <v>45714</v>
      </c>
      <c r="E105" s="1" t="n">
        <v>46315</v>
      </c>
      <c r="F105" t="inlineStr">
        <is>
          <t>VÄSTRA GÖTALANDS LÄN</t>
        </is>
      </c>
      <c r="G105" t="inlineStr">
        <is>
          <t>STENUNGSUND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14981-2025</t>
        </is>
      </c>
      <c r="B106" t="inlineStr">
        <is>
          <t>avverkningsanmälan</t>
        </is>
      </c>
      <c r="C106" t="inlineStr">
        <is>
          <t>Föryngringsavverkning</t>
        </is>
      </c>
      <c r="D106" s="1" t="n">
        <v>45743</v>
      </c>
      <c r="E106" s="1" t="n">
        <v>46315</v>
      </c>
      <c r="F106" t="inlineStr">
        <is>
          <t>VÄSTRA GÖTALANDS LÄN</t>
        </is>
      </c>
      <c r="G106" t="inlineStr">
        <is>
          <t>STENUNGSUND</t>
        </is>
      </c>
      <c r="I106" t="n">
        <v>4.8</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46315</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2026-10-20T01:49:47Z</dcterms:created>
  <dcterms:modified xmlns:dcterms="http://purl.org/dc/terms/" xmlns:xsi="http://www.w3.org/2001/XMLSchema-instance" xsi:type="dcterms:W3CDTF">2026-10-20T01:49:47Z</dcterms:modified>
</cp:coreProperties>
</file>