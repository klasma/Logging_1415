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45736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45736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45736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45736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45736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45736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HYPERLINK("https://klasma.github.io/Logging_1415/artfynd/A 11235-2025 artfynd.xlsx", "A 11235-2025")</f>
        <v/>
      </c>
      <c r="T7">
        <f>HYPERLINK("https://klasma.github.io/Logging_1415/kartor/A 11235-2025 karta.png", "A 11235-2025")</f>
        <v/>
      </c>
      <c r="V7">
        <f>HYPERLINK("https://klasma.github.io/Logging_1415/klagomål/A 11235-2025 FSC-klagomål.docx", "A 11235-2025")</f>
        <v/>
      </c>
      <c r="W7">
        <f>HYPERLINK("https://klasma.github.io/Logging_1415/klagomålsmail/A 11235-2025 FSC-klagomål mail.docx", "A 11235-2025")</f>
        <v/>
      </c>
      <c r="X7">
        <f>HYPERLINK("https://klasma.github.io/Logging_1415/tillsyn/A 11235-2025 tillsynsbegäran.docx", "A 11235-2025")</f>
        <v/>
      </c>
      <c r="Y7">
        <f>HYPERLINK("https://klasma.github.io/Logging_1415/tillsynsmail/A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45736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45736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45736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HYPERLINK("https://klasma.github.io/Logging_1415/artfynd/A 11794-2025 artfynd.xlsx", "A 11794-2025")</f>
        <v/>
      </c>
      <c r="T10">
        <f>HYPERLINK("https://klasma.github.io/Logging_1415/kartor/A 11794-2025 karta.png", "A 11794-2025")</f>
        <v/>
      </c>
      <c r="V10">
        <f>HYPERLINK("https://klasma.github.io/Logging_1415/klagomål/A 11794-2025 FSC-klagomål.docx", "A 11794-2025")</f>
        <v/>
      </c>
      <c r="W10">
        <f>HYPERLINK("https://klasma.github.io/Logging_1415/klagomålsmail/A 11794-2025 FSC-klagomål mail.docx", "A 11794-2025")</f>
        <v/>
      </c>
      <c r="X10">
        <f>HYPERLINK("https://klasma.github.io/Logging_1415/tillsyn/A 11794-2025 tillsynsbegäran.docx", "A 11794-2025")</f>
        <v/>
      </c>
      <c r="Y10">
        <f>HYPERLINK("https://klasma.github.io/Logging_1415/tillsynsmail/A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45736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45736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45736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45736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45736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45736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45736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45736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45736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45736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45736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45736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45736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45736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45736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45736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45736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45736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45736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45736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45736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45736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45736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45736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45736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45736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45736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45736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45736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45736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45736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45736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45736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45736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45736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45736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45736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45736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45736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45736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45736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45736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45736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45736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45736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45736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45736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45736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45736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45736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45736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45736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45736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45736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45736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45736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45736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45736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45736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45736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45736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45736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45736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45736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45736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45736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45736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45736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45736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45736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45736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45736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45736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45736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45736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45736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45736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45736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45736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45736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45736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45736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45736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45736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45736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45736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45736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45736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45736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45736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45736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45736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45736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45736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45736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45736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45736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45736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45736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45736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45736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45736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45736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45736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45736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45736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45736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45736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45736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45736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45736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45736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45736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45736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45736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45736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45736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45736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45736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45736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45736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45736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45736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45736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45736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45736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45736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45736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45736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45736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45736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45736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45736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45736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45736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45736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45736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45736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45736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45736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45736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45736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45736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45736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45736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45736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45736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45736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45736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45736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45736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45736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8961-2025</t>
        </is>
      </c>
      <c r="B163" s="1" t="n">
        <v>45713</v>
      </c>
      <c r="C163" s="1" t="n">
        <v>45736</v>
      </c>
      <c r="D163" t="inlineStr">
        <is>
          <t>VÄSTRA GÖTALANDS LÄN</t>
        </is>
      </c>
      <c r="E163" t="inlineStr">
        <is>
          <t>STENUNGSUND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9080-2025</t>
        </is>
      </c>
      <c r="B164" s="1" t="n">
        <v>45713</v>
      </c>
      <c r="C164" s="1" t="n">
        <v>45736</v>
      </c>
      <c r="D164" t="inlineStr">
        <is>
          <t>VÄSTRA GÖTALANDS LÄN</t>
        </is>
      </c>
      <c r="E164" t="inlineStr">
        <is>
          <t>STENUNGSUND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45736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45736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10849-2025</t>
        </is>
      </c>
      <c r="B167" s="1" t="n">
        <v>45722</v>
      </c>
      <c r="C167" s="1" t="n">
        <v>45736</v>
      </c>
      <c r="D167" t="inlineStr">
        <is>
          <t>VÄSTRA GÖTALANDS LÄN</t>
        </is>
      </c>
      <c r="E167" t="inlineStr">
        <is>
          <t>STENUNGSUND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10843-2025</t>
        </is>
      </c>
      <c r="B168" s="1" t="n">
        <v>45722</v>
      </c>
      <c r="C168" s="1" t="n">
        <v>45736</v>
      </c>
      <c r="D168" t="inlineStr">
        <is>
          <t>VÄSTRA GÖTALANDS LÄN</t>
        </is>
      </c>
      <c r="E168" t="inlineStr">
        <is>
          <t>STENUNGSUND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11362-2025</t>
        </is>
      </c>
      <c r="B169" s="1" t="n">
        <v>45726</v>
      </c>
      <c r="C169" s="1" t="n">
        <v>45736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12589-2025</t>
        </is>
      </c>
      <c r="B170" s="1" t="n">
        <v>45732</v>
      </c>
      <c r="C170" s="1" t="n">
        <v>45736</v>
      </c>
      <c r="D170" t="inlineStr">
        <is>
          <t>VÄSTRA GÖTALANDS LÄN</t>
        </is>
      </c>
      <c r="E170" t="inlineStr">
        <is>
          <t>STENUNGSUND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13116-2025</t>
        </is>
      </c>
      <c r="B171" s="1" t="n">
        <v>45734</v>
      </c>
      <c r="C171" s="1" t="n">
        <v>45736</v>
      </c>
      <c r="D171" t="inlineStr">
        <is>
          <t>VÄSTRA GÖTALANDS LÄN</t>
        </is>
      </c>
      <c r="E171" t="inlineStr">
        <is>
          <t>STENUNGSUND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2025-03-20T17:38:49Z</dcterms:created>
  <dcterms:modified xmlns:dcterms="http://purl.org/dc/terms/" xmlns:xsi="http://www.w3.org/2001/XMLSchema-instance" xsi:type="dcterms:W3CDTF">2025-03-20T17:38:49Z</dcterms:modified>
</cp:coreProperties>
</file>