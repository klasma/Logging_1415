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46271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46271</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46271</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46271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46271</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46271</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4769-2026</t>
        </is>
      </c>
      <c r="B18" t="inlineStr">
        <is>
          <t>avverkningsanmälan</t>
        </is>
      </c>
      <c r="C18" t="inlineStr">
        <is>
          <t>Föryngringsavverkning</t>
        </is>
      </c>
      <c r="D18" s="1" t="n">
        <v>46048</v>
      </c>
      <c r="E18" s="1" t="n">
        <v>46271</v>
      </c>
      <c r="F18" t="inlineStr">
        <is>
          <t>VÄSTRA GÖTALANDS LÄN</t>
        </is>
      </c>
      <c r="G18" t="inlineStr">
        <is>
          <t>STENUNGSUND</t>
        </is>
      </c>
      <c r="I18" t="n">
        <v>1</v>
      </c>
      <c r="J18" t="n">
        <v>1</v>
      </c>
      <c r="K18" t="n">
        <v>0</v>
      </c>
      <c r="L18" t="n">
        <v>0</v>
      </c>
      <c r="M18" t="n">
        <v>0</v>
      </c>
      <c r="N18" t="n">
        <v>0</v>
      </c>
      <c r="O18" t="n">
        <v>0</v>
      </c>
      <c r="P18" t="n">
        <v>0</v>
      </c>
      <c r="Q18" t="n">
        <v>0</v>
      </c>
      <c r="R18" t="n">
        <v>0</v>
      </c>
      <c r="S18" t="n">
        <v>1</v>
      </c>
      <c r="T18" t="n">
        <v>1</v>
      </c>
      <c r="U18" t="n">
        <v>0</v>
      </c>
      <c r="V18" s="2" t="inlineStr">
        <is>
          <t>Kråka</t>
        </is>
      </c>
      <c r="W18">
        <f>HYPERLINK("https://klasma.github.io/Logging_1415/artfynd/A 4769-2026 artfynd.xlsx", "A 4769-2026")</f>
        <v/>
      </c>
      <c r="X18">
        <f>HYPERLINK("https://klasma.github.io/Logging_1415/kartor/A 4769-2026 karta.png", "A 4769-2026")</f>
        <v/>
      </c>
      <c r="Y18">
        <f>HYPERLINK("https://klasma.github.io/Logging_1415/kartor_geotiff/A 4769-2026 georefererad karta.tif", "A 4769-2026")</f>
        <v/>
      </c>
      <c r="AA18">
        <f>HYPERLINK("https://klasma.github.io/Logging_1415/klagomål/A 4769-2026 FSC-klagomål.docx", "A 4769-2026")</f>
        <v/>
      </c>
      <c r="AB18">
        <f>HYPERLINK("https://klasma.github.io/Logging_1415/klagomålsmail/A 4769-2026 FSC-klagomål mail.docx", "A 4769-2026")</f>
        <v/>
      </c>
      <c r="AC18">
        <f>HYPERLINK("https://klasma.github.io/Logging_1415/tillsyn/A 4769-2026 tillsynsbegäran.docx", "A 4769-2026")</f>
        <v/>
      </c>
      <c r="AD18">
        <f>HYPERLINK("https://klasma.github.io/Logging_1415/tillsynsmail/A 4769-2026 tillsynsbegäran mail.docx", "A 4769-2026")</f>
        <v/>
      </c>
    </row>
    <row r="19" ht="15" customHeight="1">
      <c r="A19" t="inlineStr">
        <is>
          <t>A 54611-2025</t>
        </is>
      </c>
      <c r="B19" t="inlineStr">
        <is>
          <t>avverkningsanmälan</t>
        </is>
      </c>
      <c r="C19" t="inlineStr">
        <is>
          <t>Föryngringsavverkning</t>
        </is>
      </c>
      <c r="D19" s="1" t="n">
        <v>45966</v>
      </c>
      <c r="E19" s="1" t="n">
        <v>46271</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6147-2022</t>
        </is>
      </c>
      <c r="B20" t="inlineStr">
        <is>
          <t>avverkningsanmälan</t>
        </is>
      </c>
      <c r="C20" t="inlineStr">
        <is>
          <t>Föryngringsavverkning</t>
        </is>
      </c>
      <c r="D20" s="1" t="n">
        <v>44599</v>
      </c>
      <c r="E20" s="1" t="n">
        <v>46271</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17346-2026</t>
        </is>
      </c>
      <c r="B21" t="inlineStr">
        <is>
          <t>avverkningsanmälan</t>
        </is>
      </c>
      <c r="C21" t="inlineStr">
        <is>
          <t>Föryngringsavverkning</t>
        </is>
      </c>
      <c r="D21" s="1" t="n">
        <v>46119</v>
      </c>
      <c r="E21" s="1" t="n">
        <v>46271</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46271</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46271</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46271</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46271</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46271</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46271</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46271</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46271</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46271</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46271</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46271</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46271</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46271</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46271</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23070-2022</t>
        </is>
      </c>
      <c r="B36" t="inlineStr">
        <is>
          <t>avverkningsanmälan</t>
        </is>
      </c>
      <c r="C36" t="inlineStr">
        <is>
          <t>Föryngringsavverkning</t>
        </is>
      </c>
      <c r="D36" s="1" t="n">
        <v>44719</v>
      </c>
      <c r="E36" s="1" t="n">
        <v>46271</v>
      </c>
      <c r="F36" t="inlineStr">
        <is>
          <t>VÄSTRA GÖTALANDS LÄN</t>
        </is>
      </c>
      <c r="G36" t="inlineStr">
        <is>
          <t>STENUNGSUND</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46271</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46271</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46271</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46271</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46271</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2412-2024</t>
        </is>
      </c>
      <c r="B42" t="inlineStr">
        <is>
          <t>avverkningsanmälan</t>
        </is>
      </c>
      <c r="C42" t="inlineStr">
        <is>
          <t>Föryngringsavverkning</t>
        </is>
      </c>
      <c r="D42" s="1" t="n">
        <v>45310</v>
      </c>
      <c r="E42" s="1" t="n">
        <v>46271</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46271</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46271</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46271</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46271</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72944-2021</t>
        </is>
      </c>
      <c r="B47" t="inlineStr">
        <is>
          <t>avverkningsanmälan</t>
        </is>
      </c>
      <c r="C47" t="inlineStr">
        <is>
          <t>Föryngringsavverkning</t>
        </is>
      </c>
      <c r="D47" s="1" t="n">
        <v>44547</v>
      </c>
      <c r="E47" s="1" t="n">
        <v>46271</v>
      </c>
      <c r="F47" t="inlineStr">
        <is>
          <t>VÄSTRA GÖTALANDS LÄN</t>
        </is>
      </c>
      <c r="G47" t="inlineStr">
        <is>
          <t>STENUNGSUND</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46271</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33010-2022</t>
        </is>
      </c>
      <c r="B49" t="inlineStr">
        <is>
          <t>avverkningsanmälan</t>
        </is>
      </c>
      <c r="C49" t="inlineStr">
        <is>
          <t>Föryngringsavverkning</t>
        </is>
      </c>
      <c r="D49" s="1" t="n">
        <v>44785</v>
      </c>
      <c r="E49" s="1" t="n">
        <v>46271</v>
      </c>
      <c r="F49" t="inlineStr">
        <is>
          <t>VÄSTRA GÖTALANDS LÄN</t>
        </is>
      </c>
      <c r="G49" t="inlineStr">
        <is>
          <t>STENUNGSUND</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33011-2022</t>
        </is>
      </c>
      <c r="B50" t="inlineStr">
        <is>
          <t>avverkningsanmälan</t>
        </is>
      </c>
      <c r="C50" t="inlineStr">
        <is>
          <t>Föryngringsavverkning</t>
        </is>
      </c>
      <c r="D50" s="1" t="n">
        <v>44785</v>
      </c>
      <c r="E50" s="1" t="n">
        <v>46271</v>
      </c>
      <c r="F50" t="inlineStr">
        <is>
          <t>VÄSTRA GÖTALANDS LÄN</t>
        </is>
      </c>
      <c r="G50" t="inlineStr">
        <is>
          <t>STENUNGSUND</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3569-2023</t>
        </is>
      </c>
      <c r="B51" t="inlineStr">
        <is>
          <t>avverkningsanmälan</t>
        </is>
      </c>
      <c r="C51" t="inlineStr">
        <is>
          <t>Föryngringsavverkning</t>
        </is>
      </c>
      <c r="D51" s="1" t="n">
        <v>44950</v>
      </c>
      <c r="E51" s="1" t="n">
        <v>46271</v>
      </c>
      <c r="F51" t="inlineStr">
        <is>
          <t>VÄSTRA GÖTALANDS LÄN</t>
        </is>
      </c>
      <c r="G51" t="inlineStr">
        <is>
          <t>STENUNGSUND</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8948-2022</t>
        </is>
      </c>
      <c r="B52" t="inlineStr">
        <is>
          <t>avverkningsanmälan</t>
        </is>
      </c>
      <c r="C52" t="inlineStr">
        <is>
          <t>Avverkning för annat ändamål</t>
        </is>
      </c>
      <c r="D52" s="1" t="n">
        <v>44614</v>
      </c>
      <c r="E52" s="1" t="n">
        <v>46271</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8544-2023</t>
        </is>
      </c>
      <c r="B53" t="inlineStr">
        <is>
          <t>avverkningsanmälan</t>
        </is>
      </c>
      <c r="C53" t="inlineStr">
        <is>
          <t>Föryngringsavverkning</t>
        </is>
      </c>
      <c r="D53" s="1" t="n">
        <v>44977</v>
      </c>
      <c r="E53" s="1" t="n">
        <v>46271</v>
      </c>
      <c r="F53" t="inlineStr">
        <is>
          <t>VÄSTRA GÖTALANDS LÄN</t>
        </is>
      </c>
      <c r="G53" t="inlineStr">
        <is>
          <t>STENUNGSUND</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30175-2022</t>
        </is>
      </c>
      <c r="B54" t="inlineStr">
        <is>
          <t>avverkningsanmälan</t>
        </is>
      </c>
      <c r="C54" t="inlineStr">
        <is>
          <t>Föryngringsavverkning</t>
        </is>
      </c>
      <c r="D54" s="1" t="n">
        <v>44757</v>
      </c>
      <c r="E54" s="1" t="n">
        <v>46271</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35172-2025</t>
        </is>
      </c>
      <c r="B55" t="inlineStr">
        <is>
          <t>avverkningsanmälan</t>
        </is>
      </c>
      <c r="C55" t="inlineStr">
        <is>
          <t>Föryngringsavverkning</t>
        </is>
      </c>
      <c r="D55" s="1" t="n">
        <v>45852</v>
      </c>
      <c r="E55" s="1" t="n">
        <v>46271</v>
      </c>
      <c r="F55" t="inlineStr">
        <is>
          <t>VÄSTRA GÖTALANDS LÄN</t>
        </is>
      </c>
      <c r="G55" t="inlineStr">
        <is>
          <t>STENUNGSUND</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46271</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46271</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46271</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46271</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46271</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46271</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40950-2023</t>
        </is>
      </c>
      <c r="B62" t="inlineStr">
        <is>
          <t>avverkningsanmälan</t>
        </is>
      </c>
      <c r="C62" t="inlineStr">
        <is>
          <t>Föryngringsavverkning</t>
        </is>
      </c>
      <c r="D62" s="1" t="n">
        <v>45173</v>
      </c>
      <c r="E62" s="1" t="n">
        <v>46271</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t="n">
        <v>0</v>
      </c>
      <c r="V62" s="2" t="inlineStr"/>
    </row>
    <row r="63" ht="15" customHeight="1">
      <c r="A63" t="inlineStr">
        <is>
          <t>A 2472-2026</t>
        </is>
      </c>
      <c r="B63" t="inlineStr">
        <is>
          <t>avverkningsanmälan</t>
        </is>
      </c>
      <c r="C63" t="inlineStr">
        <is>
          <t>Föryngringsavverkning</t>
        </is>
      </c>
      <c r="D63" s="1" t="n">
        <v>46037</v>
      </c>
      <c r="E63" s="1" t="n">
        <v>46271</v>
      </c>
      <c r="F63" t="inlineStr">
        <is>
          <t>VÄSTRA GÖTALANDS LÄN</t>
        </is>
      </c>
      <c r="G63" t="inlineStr">
        <is>
          <t>STENUNGSUND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50205-2025</t>
        </is>
      </c>
      <c r="B64" t="inlineStr">
        <is>
          <t>avverkningsanmälan</t>
        </is>
      </c>
      <c r="C64" t="inlineStr">
        <is>
          <t>Föryngringsavverkning</t>
        </is>
      </c>
      <c r="D64" s="1" t="n">
        <v>45943</v>
      </c>
      <c r="E64" s="1" t="n">
        <v>46271</v>
      </c>
      <c r="F64" t="inlineStr">
        <is>
          <t>VÄSTRA GÖTALANDS LÄN</t>
        </is>
      </c>
      <c r="G64" t="inlineStr">
        <is>
          <t>STENUNGSUND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2481-2026</t>
        </is>
      </c>
      <c r="B65" t="inlineStr">
        <is>
          <t>avverkningsanmälan</t>
        </is>
      </c>
      <c r="C65" t="inlineStr">
        <is>
          <t>Föryngringsavverkning</t>
        </is>
      </c>
      <c r="D65" s="1" t="n">
        <v>46037</v>
      </c>
      <c r="E65" s="1" t="n">
        <v>46271</v>
      </c>
      <c r="F65" t="inlineStr">
        <is>
          <t>VÄSTRA GÖTALANDS LÄN</t>
        </is>
      </c>
      <c r="G65" t="inlineStr">
        <is>
          <t>STENUNGSUND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9282-2025</t>
        </is>
      </c>
      <c r="B66" t="inlineStr">
        <is>
          <t>avverkningsanmälan</t>
        </is>
      </c>
      <c r="C66" t="inlineStr">
        <is>
          <t>Föryngringsavverkning</t>
        </is>
      </c>
      <c r="D66" s="1" t="n">
        <v>45714</v>
      </c>
      <c r="E66" s="1" t="n">
        <v>46271</v>
      </c>
      <c r="F66" t="inlineStr">
        <is>
          <t>VÄSTRA GÖTALANDS LÄN</t>
        </is>
      </c>
      <c r="G66" t="inlineStr">
        <is>
          <t>STENUNGSUND</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46271</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46271</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14981-2025</t>
        </is>
      </c>
      <c r="B69" t="inlineStr">
        <is>
          <t>avverkningsanmälan</t>
        </is>
      </c>
      <c r="C69" t="inlineStr">
        <is>
          <t>Föryngringsavverkning</t>
        </is>
      </c>
      <c r="D69" s="1" t="n">
        <v>45743</v>
      </c>
      <c r="E69" s="1" t="n">
        <v>46271</v>
      </c>
      <c r="F69" t="inlineStr">
        <is>
          <t>VÄSTRA GÖTALANDS LÄN</t>
        </is>
      </c>
      <c r="G69" t="inlineStr">
        <is>
          <t>STENUNGSUND</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46271</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46271</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11362-2025</t>
        </is>
      </c>
      <c r="B72" t="inlineStr">
        <is>
          <t>avverkningsanmälan</t>
        </is>
      </c>
      <c r="C72" t="inlineStr">
        <is>
          <t>Föryngringsavverkning</t>
        </is>
      </c>
      <c r="D72" s="1" t="n">
        <v>45726</v>
      </c>
      <c r="E72" s="1" t="n">
        <v>46271</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46271</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46271</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46271</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809-2025</t>
        </is>
      </c>
      <c r="B76" t="inlineStr">
        <is>
          <t>avverkningsanmälan</t>
        </is>
      </c>
      <c r="C76" t="inlineStr">
        <is>
          <t>Föryngringsavverkning</t>
        </is>
      </c>
      <c r="D76" s="1" t="n">
        <v>45665</v>
      </c>
      <c r="E76" s="1" t="n">
        <v>46271</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10472-2024</t>
        </is>
      </c>
      <c r="B77" t="inlineStr">
        <is>
          <t>avverkningsanmälan</t>
        </is>
      </c>
      <c r="C77" t="inlineStr">
        <is>
          <t>Föryngringsavverkning</t>
        </is>
      </c>
      <c r="D77" s="1" t="n">
        <v>45366</v>
      </c>
      <c r="E77" s="1" t="n">
        <v>46271</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46271</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32960-2023</t>
        </is>
      </c>
      <c r="B79" t="inlineStr">
        <is>
          <t>avverkningsanmälan</t>
        </is>
      </c>
      <c r="C79" t="inlineStr">
        <is>
          <t>Avverkning för annat ändamål</t>
        </is>
      </c>
      <c r="D79" s="1" t="n">
        <v>45125</v>
      </c>
      <c r="E79" s="1" t="n">
        <v>46271</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34253-2023</t>
        </is>
      </c>
      <c r="B80" t="inlineStr">
        <is>
          <t>avverkningsanmälan</t>
        </is>
      </c>
      <c r="C80" t="inlineStr">
        <is>
          <t>Föryngringsavverkning</t>
        </is>
      </c>
      <c r="D80" s="1" t="n">
        <v>45138</v>
      </c>
      <c r="E80" s="1" t="n">
        <v>46271</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46271</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46271</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46271</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46271</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54931-2024</t>
        </is>
      </c>
      <c r="B85" t="inlineStr">
        <is>
          <t>avverkningsanmälan</t>
        </is>
      </c>
      <c r="C85" t="inlineStr">
        <is>
          <t>Föryngringsavverkning</t>
        </is>
      </c>
      <c r="D85" s="1" t="n">
        <v>45618</v>
      </c>
      <c r="E85" s="1" t="n">
        <v>46271</v>
      </c>
      <c r="F85" t="inlineStr">
        <is>
          <t>VÄSTRA GÖTALANDS LÄN</t>
        </is>
      </c>
      <c r="G85" t="inlineStr">
        <is>
          <t>STENUNGSUND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17362-2026</t>
        </is>
      </c>
      <c r="B86" t="inlineStr">
        <is>
          <t>avverkningsanmälan</t>
        </is>
      </c>
      <c r="C86" t="inlineStr">
        <is>
          <t>Föryngringsavverkning</t>
        </is>
      </c>
      <c r="D86" s="1" t="n">
        <v>46119</v>
      </c>
      <c r="E86" s="1" t="n">
        <v>46271</v>
      </c>
      <c r="F86" t="inlineStr">
        <is>
          <t>VÄSTRA GÖTALANDS LÄN</t>
        </is>
      </c>
      <c r="G86" t="inlineStr">
        <is>
          <t>STENUNGSUND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46271</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18016-2026</t>
        </is>
      </c>
      <c r="B88" t="inlineStr">
        <is>
          <t>avverkningsanmälan</t>
        </is>
      </c>
      <c r="C88" t="inlineStr">
        <is>
          <t>Föryngringsavverkning</t>
        </is>
      </c>
      <c r="D88" s="1" t="n">
        <v>46125</v>
      </c>
      <c r="E88" s="1" t="n">
        <v>46271</v>
      </c>
      <c r="F88" t="inlineStr">
        <is>
          <t>VÄSTRA GÖTALANDS LÄN</t>
        </is>
      </c>
      <c r="G88" t="inlineStr">
        <is>
          <t>STENUNGSUND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46271</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46271</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46271</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46271</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46271</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46271</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19059-2023</t>
        </is>
      </c>
      <c r="B95" t="inlineStr">
        <is>
          <t>avverkningsanmälan</t>
        </is>
      </c>
      <c r="C95" t="inlineStr">
        <is>
          <t>Föryngringsavverkning</t>
        </is>
      </c>
      <c r="D95" s="1" t="n">
        <v>45048</v>
      </c>
      <c r="E95" s="1" t="n">
        <v>46271</v>
      </c>
      <c r="F95" t="inlineStr">
        <is>
          <t>VÄSTRA GÖTALANDS LÄN</t>
        </is>
      </c>
      <c r="G95" t="inlineStr">
        <is>
          <t>STENUNGSUND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23115-2026</t>
        </is>
      </c>
      <c r="B96" t="inlineStr">
        <is>
          <t>avverkningsanmälan</t>
        </is>
      </c>
      <c r="C96" t="inlineStr">
        <is>
          <t>Föryngringsavverkning</t>
        </is>
      </c>
      <c r="D96" s="1" t="n">
        <v>46161</v>
      </c>
      <c r="E96" s="1" t="n">
        <v>46271</v>
      </c>
      <c r="F96" t="inlineStr">
        <is>
          <t>VÄSTRA GÖTALANDS LÄN</t>
        </is>
      </c>
      <c r="G96" t="inlineStr">
        <is>
          <t>STENUNGSUND</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19709-2026</t>
        </is>
      </c>
      <c r="B97" t="inlineStr">
        <is>
          <t>avverkningsanmälan</t>
        </is>
      </c>
      <c r="C97" t="inlineStr">
        <is>
          <t>Föryngringsavverkning</t>
        </is>
      </c>
      <c r="D97" s="1" t="n">
        <v>46134</v>
      </c>
      <c r="E97" s="1" t="n">
        <v>46271</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46271</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46271</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46271</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46271</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34555-2024</t>
        </is>
      </c>
      <c r="B102" t="inlineStr">
        <is>
          <t>avverkningsanmälan</t>
        </is>
      </c>
      <c r="C102" t="inlineStr">
        <is>
          <t>Föryngringsavverkning</t>
        </is>
      </c>
      <c r="D102" s="1" t="n">
        <v>45525</v>
      </c>
      <c r="E102" s="1" t="n">
        <v>46271</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30170-2026</t>
        </is>
      </c>
      <c r="B103" t="inlineStr">
        <is>
          <t>avverkningsanmälan</t>
        </is>
      </c>
      <c r="C103" t="inlineStr">
        <is>
          <t>Föryngringsavverkning</t>
        </is>
      </c>
      <c r="D103" s="1" t="n">
        <v>46206</v>
      </c>
      <c r="E103" s="1" t="n">
        <v>46271</v>
      </c>
      <c r="F103" t="inlineStr">
        <is>
          <t>VÄSTRA GÖTALANDS LÄN</t>
        </is>
      </c>
      <c r="G103" t="inlineStr">
        <is>
          <t>STENUNGSUND</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33950-2023</t>
        </is>
      </c>
      <c r="B104" t="inlineStr">
        <is>
          <t>avverkningsanmälan</t>
        </is>
      </c>
      <c r="C104" t="inlineStr">
        <is>
          <t>Föryngringsavverkning</t>
        </is>
      </c>
      <c r="D104" s="1" t="n">
        <v>45134</v>
      </c>
      <c r="E104" s="1" t="n">
        <v>46271</v>
      </c>
      <c r="F104" t="inlineStr">
        <is>
          <t>VÄSTRA GÖTALANDS LÄN</t>
        </is>
      </c>
      <c r="G104" t="inlineStr">
        <is>
          <t>STENUNGSUND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46271</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46271</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46271</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2026-09-06T02:06:43Z</dcterms:created>
  <dcterms:modified xmlns:dcterms="http://purl.org/dc/terms/" xmlns:xsi="http://www.w3.org/2001/XMLSchema-instance" xsi:type="dcterms:W3CDTF">2026-09-06T02:06:43Z</dcterms:modified>
</cp:coreProperties>
</file>